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GitHub\SIN-model\7. Brasil inputs\data EPE\"/>
    </mc:Choice>
  </mc:AlternateContent>
  <xr:revisionPtr revIDLastSave="0" documentId="13_ncr:1_{7345002E-EC1A-428B-AF3F-C4B2465E3728}" xr6:coauthVersionLast="47" xr6:coauthVersionMax="47" xr10:uidLastSave="{00000000-0000-0000-0000-000000000000}"/>
  <bookViews>
    <workbookView xWindow="-108" yWindow="-108" windowWidth="23256" windowHeight="12456" activeTab="1" xr2:uid="{F804509D-198A-416F-8845-EE03261C4E2A}"/>
  </bookViews>
  <sheets>
    <sheet name="Planilha3" sheetId="3" r:id="rId1"/>
    <sheet name="MDI vs caderno" sheetId="5" r:id="rId2"/>
    <sheet name="Duracao" sheetId="1" r:id="rId3"/>
    <sheet name="Pu media" sheetId="4" r:id="rId4"/>
  </sheets>
  <calcPr calcId="191029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2" i="5" l="1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K48" i="1" a="1"/>
  <c r="N46" i="1"/>
  <c r="M46" i="1"/>
  <c r="L46" i="1"/>
  <c r="K46" i="1"/>
  <c r="FY48" i="4"/>
  <c r="FX48" i="4"/>
  <c r="FW48" i="4"/>
  <c r="FV48" i="4"/>
  <c r="FU48" i="4"/>
  <c r="FT48" i="4"/>
  <c r="FS48" i="4"/>
  <c r="FR48" i="4"/>
  <c r="FQ48" i="4"/>
  <c r="FP48" i="4"/>
  <c r="FO48" i="4"/>
  <c r="FN48" i="4"/>
  <c r="FM48" i="4"/>
  <c r="FL48" i="4"/>
  <c r="FK48" i="4"/>
  <c r="FJ48" i="4"/>
  <c r="FI48" i="4"/>
  <c r="FH48" i="4"/>
  <c r="FG48" i="4"/>
  <c r="FF48" i="4"/>
  <c r="FE48" i="4"/>
  <c r="FD48" i="4"/>
  <c r="FC48" i="4"/>
  <c r="FB48" i="4"/>
  <c r="FA48" i="4"/>
  <c r="EZ48" i="4"/>
  <c r="EY48" i="4"/>
  <c r="EX48" i="4"/>
  <c r="EW48" i="4"/>
  <c r="EV48" i="4"/>
  <c r="EU48" i="4"/>
  <c r="ET48" i="4"/>
  <c r="ES48" i="4"/>
  <c r="ER48" i="4"/>
  <c r="EQ48" i="4"/>
  <c r="EP48" i="4"/>
  <c r="EO48" i="4"/>
  <c r="EN48" i="4"/>
  <c r="EM48" i="4"/>
  <c r="EL48" i="4"/>
  <c r="EK48" i="4"/>
  <c r="EJ48" i="4"/>
  <c r="EI48" i="4"/>
  <c r="EH48" i="4"/>
  <c r="EG48" i="4"/>
  <c r="EF48" i="4"/>
  <c r="EE48" i="4"/>
  <c r="ED48" i="4"/>
  <c r="EC48" i="4"/>
  <c r="EB48" i="4"/>
  <c r="EA48" i="4"/>
  <c r="DZ48" i="4"/>
  <c r="DY48" i="4"/>
  <c r="DX48" i="4"/>
  <c r="DW48" i="4"/>
  <c r="DV48" i="4"/>
  <c r="DU48" i="4"/>
  <c r="DT48" i="4"/>
  <c r="DS48" i="4"/>
  <c r="DR48" i="4"/>
  <c r="DQ48" i="4"/>
  <c r="DP48" i="4"/>
  <c r="DO48" i="4"/>
  <c r="DN48" i="4"/>
  <c r="DM48" i="4"/>
  <c r="DL48" i="4"/>
  <c r="DK48" i="4"/>
  <c r="DJ48" i="4"/>
  <c r="DI48" i="4"/>
  <c r="DH48" i="4"/>
  <c r="DG48" i="4"/>
  <c r="DF48" i="4"/>
  <c r="DE48" i="4"/>
  <c r="DD48" i="4"/>
  <c r="DC48" i="4"/>
  <c r="DB48" i="4"/>
  <c r="DA48" i="4"/>
  <c r="CZ48" i="4"/>
  <c r="CY48" i="4"/>
  <c r="CX48" i="4"/>
  <c r="CW48" i="4"/>
  <c r="CV48" i="4"/>
  <c r="CU48" i="4"/>
  <c r="CT48" i="4"/>
  <c r="CS48" i="4"/>
  <c r="CR48" i="4"/>
  <c r="CQ48" i="4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V48" i="4"/>
  <c r="BU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FY47" i="4"/>
  <c r="FX47" i="4"/>
  <c r="FW47" i="4"/>
  <c r="FV47" i="4"/>
  <c r="FU47" i="4"/>
  <c r="FT47" i="4"/>
  <c r="FS47" i="4"/>
  <c r="FR47" i="4"/>
  <c r="FQ47" i="4"/>
  <c r="FP47" i="4"/>
  <c r="FO47" i="4"/>
  <c r="FN47" i="4"/>
  <c r="FM47" i="4"/>
  <c r="FL47" i="4"/>
  <c r="FK47" i="4"/>
  <c r="FJ47" i="4"/>
  <c r="FI47" i="4"/>
  <c r="FH47" i="4"/>
  <c r="FG47" i="4"/>
  <c r="FF47" i="4"/>
  <c r="FE47" i="4"/>
  <c r="FD47" i="4"/>
  <c r="FC47" i="4"/>
  <c r="FB47" i="4"/>
  <c r="FA47" i="4"/>
  <c r="EZ47" i="4"/>
  <c r="EY47" i="4"/>
  <c r="EX47" i="4"/>
  <c r="EW47" i="4"/>
  <c r="EV47" i="4"/>
  <c r="EU47" i="4"/>
  <c r="ET47" i="4"/>
  <c r="ES47" i="4"/>
  <c r="ER47" i="4"/>
  <c r="EQ47" i="4"/>
  <c r="EP47" i="4"/>
  <c r="EO47" i="4"/>
  <c r="EN47" i="4"/>
  <c r="EM47" i="4"/>
  <c r="EL47" i="4"/>
  <c r="EK47" i="4"/>
  <c r="EJ47" i="4"/>
  <c r="EI47" i="4"/>
  <c r="EH47" i="4"/>
  <c r="EG47" i="4"/>
  <c r="EF47" i="4"/>
  <c r="EE47" i="4"/>
  <c r="ED47" i="4"/>
  <c r="EC47" i="4"/>
  <c r="EB47" i="4"/>
  <c r="EA47" i="4"/>
  <c r="DZ47" i="4"/>
  <c r="DY47" i="4"/>
  <c r="DX47" i="4"/>
  <c r="DW47" i="4"/>
  <c r="DV47" i="4"/>
  <c r="DU47" i="4"/>
  <c r="DT47" i="4"/>
  <c r="DS47" i="4"/>
  <c r="DR47" i="4"/>
  <c r="DQ47" i="4"/>
  <c r="DP47" i="4"/>
  <c r="DO47" i="4"/>
  <c r="DN47" i="4"/>
  <c r="DM47" i="4"/>
  <c r="DL47" i="4"/>
  <c r="DK47" i="4"/>
  <c r="DJ47" i="4"/>
  <c r="DI47" i="4"/>
  <c r="DH47" i="4"/>
  <c r="DG47" i="4"/>
  <c r="DF47" i="4"/>
  <c r="DE47" i="4"/>
  <c r="DD47" i="4"/>
  <c r="DC47" i="4"/>
  <c r="DB47" i="4"/>
  <c r="DA47" i="4"/>
  <c r="CZ47" i="4"/>
  <c r="CY47" i="4"/>
  <c r="CX47" i="4"/>
  <c r="CW47" i="4"/>
  <c r="CV47" i="4"/>
  <c r="CU47" i="4"/>
  <c r="CT47" i="4"/>
  <c r="CS47" i="4"/>
  <c r="CR47" i="4"/>
  <c r="CQ47" i="4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V47" i="4"/>
  <c r="BU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FY46" i="4"/>
  <c r="FX46" i="4"/>
  <c r="FW46" i="4"/>
  <c r="FV46" i="4"/>
  <c r="FU46" i="4"/>
  <c r="FT46" i="4"/>
  <c r="FS46" i="4"/>
  <c r="FR46" i="4"/>
  <c r="FQ46" i="4"/>
  <c r="FP46" i="4"/>
  <c r="FO46" i="4"/>
  <c r="FN46" i="4"/>
  <c r="FM46" i="4"/>
  <c r="FL46" i="4"/>
  <c r="FK46" i="4"/>
  <c r="FJ46" i="4"/>
  <c r="FI46" i="4"/>
  <c r="FH46" i="4"/>
  <c r="FG46" i="4"/>
  <c r="FF46" i="4"/>
  <c r="FE46" i="4"/>
  <c r="FD46" i="4"/>
  <c r="FC46" i="4"/>
  <c r="FB46" i="4"/>
  <c r="FA46" i="4"/>
  <c r="EZ46" i="4"/>
  <c r="EY46" i="4"/>
  <c r="EX46" i="4"/>
  <c r="EW46" i="4"/>
  <c r="EV46" i="4"/>
  <c r="EU46" i="4"/>
  <c r="ET46" i="4"/>
  <c r="ES46" i="4"/>
  <c r="ER46" i="4"/>
  <c r="EQ46" i="4"/>
  <c r="EP46" i="4"/>
  <c r="EO46" i="4"/>
  <c r="EN46" i="4"/>
  <c r="EM46" i="4"/>
  <c r="EL46" i="4"/>
  <c r="EK46" i="4"/>
  <c r="EJ46" i="4"/>
  <c r="EI46" i="4"/>
  <c r="EH46" i="4"/>
  <c r="EG46" i="4"/>
  <c r="EF46" i="4"/>
  <c r="EE46" i="4"/>
  <c r="ED46" i="4"/>
  <c r="EC46" i="4"/>
  <c r="EB46" i="4"/>
  <c r="EA46" i="4"/>
  <c r="DZ46" i="4"/>
  <c r="DY46" i="4"/>
  <c r="DX46" i="4"/>
  <c r="DW46" i="4"/>
  <c r="DV46" i="4"/>
  <c r="DU46" i="4"/>
  <c r="DT46" i="4"/>
  <c r="DS46" i="4"/>
  <c r="DR46" i="4"/>
  <c r="DQ46" i="4"/>
  <c r="DP46" i="4"/>
  <c r="DO46" i="4"/>
  <c r="DN46" i="4"/>
  <c r="DM46" i="4"/>
  <c r="DL46" i="4"/>
  <c r="DK46" i="4"/>
  <c r="DJ46" i="4"/>
  <c r="DI46" i="4"/>
  <c r="DH46" i="4"/>
  <c r="DG46" i="4"/>
  <c r="DF46" i="4"/>
  <c r="DE46" i="4"/>
  <c r="DD46" i="4"/>
  <c r="DC46" i="4"/>
  <c r="DB46" i="4"/>
  <c r="DA46" i="4"/>
  <c r="CZ46" i="4"/>
  <c r="CY46" i="4"/>
  <c r="CX46" i="4"/>
  <c r="CW46" i="4"/>
  <c r="CV46" i="4"/>
  <c r="CU46" i="4"/>
  <c r="CT46" i="4"/>
  <c r="CS46" i="4"/>
  <c r="CR46" i="4"/>
  <c r="CQ46" i="4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V46" i="4"/>
  <c r="BU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FY45" i="4"/>
  <c r="FX45" i="4"/>
  <c r="FW45" i="4"/>
  <c r="FV45" i="4"/>
  <c r="FU45" i="4"/>
  <c r="FT45" i="4"/>
  <c r="FS45" i="4"/>
  <c r="FR45" i="4"/>
  <c r="FQ45" i="4"/>
  <c r="FP45" i="4"/>
  <c r="FO45" i="4"/>
  <c r="FN45" i="4"/>
  <c r="FM45" i="4"/>
  <c r="FL45" i="4"/>
  <c r="FK45" i="4"/>
  <c r="FJ45" i="4"/>
  <c r="FI45" i="4"/>
  <c r="FH45" i="4"/>
  <c r="FG45" i="4"/>
  <c r="FF45" i="4"/>
  <c r="FE45" i="4"/>
  <c r="FD45" i="4"/>
  <c r="FC45" i="4"/>
  <c r="FB45" i="4"/>
  <c r="FA45" i="4"/>
  <c r="EZ45" i="4"/>
  <c r="EY45" i="4"/>
  <c r="EX45" i="4"/>
  <c r="EW45" i="4"/>
  <c r="EV45" i="4"/>
  <c r="EU45" i="4"/>
  <c r="ET45" i="4"/>
  <c r="ES45" i="4"/>
  <c r="ER45" i="4"/>
  <c r="EQ45" i="4"/>
  <c r="EP45" i="4"/>
  <c r="EO45" i="4"/>
  <c r="EN45" i="4"/>
  <c r="EM45" i="4"/>
  <c r="EL45" i="4"/>
  <c r="EK45" i="4"/>
  <c r="EJ45" i="4"/>
  <c r="EI45" i="4"/>
  <c r="EH45" i="4"/>
  <c r="EG45" i="4"/>
  <c r="EF45" i="4"/>
  <c r="EE45" i="4"/>
  <c r="ED45" i="4"/>
  <c r="EC45" i="4"/>
  <c r="EB45" i="4"/>
  <c r="EA45" i="4"/>
  <c r="DZ45" i="4"/>
  <c r="DY45" i="4"/>
  <c r="DX45" i="4"/>
  <c r="DW45" i="4"/>
  <c r="DV45" i="4"/>
  <c r="DU45" i="4"/>
  <c r="DT45" i="4"/>
  <c r="DS45" i="4"/>
  <c r="DR45" i="4"/>
  <c r="DQ45" i="4"/>
  <c r="DP45" i="4"/>
  <c r="DO45" i="4"/>
  <c r="DN45" i="4"/>
  <c r="DM45" i="4"/>
  <c r="DL45" i="4"/>
  <c r="DK45" i="4"/>
  <c r="DJ45" i="4"/>
  <c r="DI45" i="4"/>
  <c r="DH45" i="4"/>
  <c r="DG45" i="4"/>
  <c r="DF45" i="4"/>
  <c r="DE45" i="4"/>
  <c r="DD45" i="4"/>
  <c r="DC45" i="4"/>
  <c r="DB45" i="4"/>
  <c r="DA45" i="4"/>
  <c r="CZ45" i="4"/>
  <c r="CY45" i="4"/>
  <c r="CX45" i="4"/>
  <c r="CW45" i="4"/>
  <c r="CV45" i="4"/>
  <c r="CU45" i="4"/>
  <c r="CT45" i="4"/>
  <c r="CS45" i="4"/>
  <c r="CR45" i="4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V45" i="4"/>
  <c r="BU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R4" i="1"/>
  <c r="T18" i="1"/>
  <c r="T17" i="1"/>
  <c r="T16" i="1"/>
  <c r="T15" i="1"/>
  <c r="F22" i="1"/>
  <c r="Q25" i="1"/>
  <c r="P25" i="1"/>
  <c r="O25" i="1"/>
  <c r="N25" i="1"/>
  <c r="M25" i="1"/>
  <c r="L25" i="1"/>
  <c r="K25" i="1"/>
  <c r="J25" i="1"/>
  <c r="I25" i="1"/>
  <c r="H25" i="1"/>
  <c r="G25" i="1"/>
  <c r="F25" i="1"/>
  <c r="Q24" i="1"/>
  <c r="P24" i="1"/>
  <c r="O24" i="1"/>
  <c r="N24" i="1"/>
  <c r="M24" i="1"/>
  <c r="L24" i="1"/>
  <c r="K24" i="1"/>
  <c r="J24" i="1"/>
  <c r="I24" i="1"/>
  <c r="H24" i="1"/>
  <c r="G24" i="1"/>
  <c r="F24" i="1"/>
  <c r="Q23" i="1"/>
  <c r="P23" i="1"/>
  <c r="O23" i="1"/>
  <c r="N23" i="1"/>
  <c r="M23" i="1"/>
  <c r="L23" i="1"/>
  <c r="K23" i="1"/>
  <c r="J23" i="1"/>
  <c r="I23" i="1"/>
  <c r="H23" i="1"/>
  <c r="G23" i="1"/>
  <c r="F23" i="1"/>
  <c r="Q22" i="1"/>
  <c r="P22" i="1"/>
  <c r="O22" i="1"/>
  <c r="N22" i="1"/>
  <c r="M22" i="1"/>
  <c r="L22" i="1"/>
  <c r="K22" i="1"/>
  <c r="J22" i="1"/>
  <c r="I22" i="1"/>
  <c r="H22" i="1"/>
  <c r="G22" i="1"/>
  <c r="F14" i="1"/>
  <c r="G14" i="1"/>
  <c r="H14" i="1"/>
  <c r="I14" i="1"/>
  <c r="J14" i="1"/>
  <c r="K14" i="1"/>
  <c r="L14" i="1"/>
  <c r="M14" i="1"/>
  <c r="N14" i="1"/>
  <c r="O14" i="1"/>
  <c r="P14" i="1"/>
  <c r="Q14" i="1"/>
  <c r="F7" i="1"/>
  <c r="G7" i="1"/>
  <c r="H7" i="1"/>
  <c r="I7" i="1"/>
  <c r="J7" i="1"/>
  <c r="K7" i="1"/>
  <c r="L7" i="1"/>
  <c r="M7" i="1"/>
  <c r="N7" i="1"/>
  <c r="O7" i="1"/>
  <c r="P7" i="1"/>
  <c r="Q7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Q11" i="1"/>
  <c r="Q18" i="1" s="1"/>
  <c r="P11" i="1"/>
  <c r="P18" i="1" s="1"/>
  <c r="O11" i="1"/>
  <c r="O18" i="1" s="1"/>
  <c r="N11" i="1"/>
  <c r="N18" i="1" s="1"/>
  <c r="M11" i="1"/>
  <c r="M18" i="1" s="1"/>
  <c r="L11" i="1"/>
  <c r="L18" i="1" s="1"/>
  <c r="K11" i="1"/>
  <c r="K18" i="1" s="1"/>
  <c r="J11" i="1"/>
  <c r="J18" i="1" s="1"/>
  <c r="I11" i="1"/>
  <c r="I18" i="1" s="1"/>
  <c r="H11" i="1"/>
  <c r="H18" i="1" s="1"/>
  <c r="G11" i="1"/>
  <c r="G18" i="1" s="1"/>
  <c r="F11" i="1"/>
  <c r="F18" i="1" s="1"/>
  <c r="R18" i="1" s="1"/>
  <c r="S18" i="1" s="1"/>
  <c r="Q10" i="1"/>
  <c r="Q17" i="1" s="1"/>
  <c r="P10" i="1"/>
  <c r="P17" i="1" s="1"/>
  <c r="O10" i="1"/>
  <c r="O17" i="1" s="1"/>
  <c r="N10" i="1"/>
  <c r="N17" i="1" s="1"/>
  <c r="M10" i="1"/>
  <c r="M17" i="1" s="1"/>
  <c r="L10" i="1"/>
  <c r="L17" i="1" s="1"/>
  <c r="K10" i="1"/>
  <c r="K17" i="1" s="1"/>
  <c r="J10" i="1"/>
  <c r="J17" i="1" s="1"/>
  <c r="I10" i="1"/>
  <c r="I17" i="1" s="1"/>
  <c r="H10" i="1"/>
  <c r="H17" i="1" s="1"/>
  <c r="G10" i="1"/>
  <c r="G17" i="1" s="1"/>
  <c r="F10" i="1"/>
  <c r="F17" i="1" s="1"/>
  <c r="R17" i="1" s="1"/>
  <c r="S17" i="1" s="1"/>
  <c r="Q9" i="1"/>
  <c r="Q16" i="1" s="1"/>
  <c r="P9" i="1"/>
  <c r="P16" i="1" s="1"/>
  <c r="O9" i="1"/>
  <c r="O16" i="1" s="1"/>
  <c r="N9" i="1"/>
  <c r="N16" i="1" s="1"/>
  <c r="M9" i="1"/>
  <c r="M16" i="1" s="1"/>
  <c r="L9" i="1"/>
  <c r="L16" i="1" s="1"/>
  <c r="K9" i="1"/>
  <c r="K16" i="1" s="1"/>
  <c r="J9" i="1"/>
  <c r="J16" i="1" s="1"/>
  <c r="I9" i="1"/>
  <c r="I16" i="1" s="1"/>
  <c r="H9" i="1"/>
  <c r="H16" i="1" s="1"/>
  <c r="G9" i="1"/>
  <c r="G16" i="1" s="1"/>
  <c r="F9" i="1"/>
  <c r="F16" i="1" s="1"/>
  <c r="R16" i="1" s="1"/>
  <c r="S16" i="1" s="1"/>
  <c r="Q8" i="1"/>
  <c r="Q15" i="1" s="1"/>
  <c r="P8" i="1"/>
  <c r="P15" i="1" s="1"/>
  <c r="O8" i="1"/>
  <c r="O15" i="1" s="1"/>
  <c r="N8" i="1"/>
  <c r="N15" i="1" s="1"/>
  <c r="M8" i="1"/>
  <c r="M15" i="1" s="1"/>
  <c r="L8" i="1"/>
  <c r="L15" i="1" s="1"/>
  <c r="K8" i="1"/>
  <c r="K15" i="1" s="1"/>
  <c r="J8" i="1"/>
  <c r="J15" i="1" s="1"/>
  <c r="I8" i="1"/>
  <c r="I15" i="1" s="1"/>
  <c r="H8" i="1"/>
  <c r="H15" i="1" s="1"/>
  <c r="G8" i="1"/>
  <c r="G15" i="1" s="1"/>
  <c r="F8" i="1"/>
  <c r="F15" i="1" s="1"/>
  <c r="R15" i="1" s="1"/>
  <c r="S15" i="1" s="1"/>
  <c r="J20" i="1" l="1"/>
  <c r="M20" i="1"/>
  <c r="O20" i="1"/>
  <c r="Q20" i="1"/>
  <c r="K20" i="1"/>
  <c r="N20" i="1"/>
  <c r="P20" i="1"/>
  <c r="F20" i="1"/>
  <c r="G20" i="1"/>
  <c r="I20" i="1"/>
  <c r="L20" i="1"/>
  <c r="H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<sst xmlns="http://schemas.openxmlformats.org/spreadsheetml/2006/main" count="147" uniqueCount="64">
  <si>
    <t>CARGA(P.U.DEMANDA MED.)</t>
  </si>
  <si>
    <t>DEMANDA DE ENERGIA</t>
  </si>
  <si>
    <t>XXXJAN.</t>
  </si>
  <si>
    <t>XXXFEV.</t>
  </si>
  <si>
    <t>XXXMAR.</t>
  </si>
  <si>
    <t>XXXABR.</t>
  </si>
  <si>
    <t>XXXMAI.</t>
  </si>
  <si>
    <t>XXXJUN.</t>
  </si>
  <si>
    <t>XXXJUL.</t>
  </si>
  <si>
    <t>XXXAGO.</t>
  </si>
  <si>
    <t>XXXSET.</t>
  </si>
  <si>
    <t>XXXOUT.</t>
  </si>
  <si>
    <t>XXXNOV.</t>
  </si>
  <si>
    <t>XXXDEZ.</t>
  </si>
  <si>
    <t>Sistema 1</t>
  </si>
  <si>
    <t>sistema</t>
  </si>
  <si>
    <t>ano</t>
  </si>
  <si>
    <t>Southeast</t>
  </si>
  <si>
    <t>North</t>
  </si>
  <si>
    <t>Northeast</t>
  </si>
  <si>
    <t>South</t>
  </si>
  <si>
    <t>demanda</t>
  </si>
  <si>
    <t>Soma de demanda</t>
  </si>
  <si>
    <t>Rótulos de Coluna</t>
  </si>
  <si>
    <t>Total Geral</t>
  </si>
  <si>
    <t>Rótulos de Linha</t>
  </si>
  <si>
    <t>MWh</t>
  </si>
  <si>
    <t>MWm</t>
  </si>
  <si>
    <t>GWh</t>
  </si>
  <si>
    <t>GWm</t>
  </si>
  <si>
    <t>Data</t>
  </si>
  <si>
    <t>Bloco 1</t>
  </si>
  <si>
    <t>Bloco 2</t>
  </si>
  <si>
    <t>Bloco 3</t>
  </si>
  <si>
    <t>Bloco 4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</si>
  <si>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</si>
  <si>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</si>
  <si>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</si>
  <si>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</si>
  <si>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</si>
  <si>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</si>
  <si>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</si>
  <si>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</si>
  <si>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</si>
  <si>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</si>
  <si>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</si>
  <si>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</si>
  <si>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</si>
  <si>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</si>
  <si>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</si>
  <si>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Média de Bloco 1</t>
  </si>
  <si>
    <t>Média de Bloco 2</t>
  </si>
  <si>
    <t>Média de Bloco 3</t>
  </si>
  <si>
    <t>Média de Bloco 4</t>
  </si>
  <si>
    <t>SIN</t>
  </si>
  <si>
    <t>Média de 1</t>
  </si>
  <si>
    <t>Média de 2</t>
  </si>
  <si>
    <t>Média de 3</t>
  </si>
  <si>
    <t>Média de 4</t>
  </si>
  <si>
    <t>Resultado final</t>
  </si>
  <si>
    <t>MDI antes</t>
  </si>
  <si>
    <t>MDI depois</t>
  </si>
  <si>
    <t>histórico</t>
  </si>
  <si>
    <t>Caderno Ref. PDE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</si>
</sst>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??_-;_-@_-"/>
    <numFmt numFmtId="165" formatCode="0.0000"/>
    <numFmt numFmtId="166" formatCode="0.0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17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0" fontId="2" fillId="3" borderId="0" xfId="0" applyFont="1" applyFill="1" applyAlignment="1">
      <alignment horizont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0" fillId="2" borderId="0" xfId="0" applyFill="1"/>
    <xf numFmtId="1" fontId="0" fillId="0" borderId="0" xfId="0" applyNumberFormat="1"/>
    <xf numFmtId="0" fontId="1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5" fillId="0" borderId="0" xfId="0" applyFont="1"/>
    <xf numFmtId="165" fontId="0" fillId="0" borderId="0" xfId="0" applyNumberFormat="1"/>
    <xf numFmtId="166" fontId="0" fillId="0" borderId="0" xfId="0" applyNumberFormat="1"/>
    <xf numFmtId="165" fontId="3" fillId="0" borderId="1" xfId="0" applyNumberFormat="1" applyFont="1" applyBorder="1" applyAlignment="1">
      <alignment vertical="center"/>
    </xf>
    <xf numFmtId="0" fontId="2" fillId="5" borderId="2" xfId="0" applyFont="1" applyFill="1" applyBorder="1"/>
    <xf numFmtId="0" fontId="2" fillId="4" borderId="0" xfId="0" applyFont="1" applyFill="1" applyAlignment="1">
      <alignment horizontal="center"/>
    </xf>
    <xf numFmtId="2" fontId="0" fillId="0" borderId="0" xfId="0" applyNumberFormat="1"/>
  </cellXfs>
  <cellStyles count="2">
    <cellStyle name="Normal" xfId="0" builtinId="0"/>
    <cellStyle name="Normal 4" xfId="1" xr:uid="{6F28FF4B-9EF3-4029-AF61-93756C203C97}"/>
  </cellStyles>
  <dxfs count="31"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4" formatCode="_-* #,##0_-;\-* #,##0_-;_-* &quot;-&quot;??_-;_-@_-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[Calculo da Demanda.xlsx]Planilha3!Tabela dinâmica2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Planilha3!$B$3:$B$4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Planilha3!$A$5:$A$20</c:f>
              <c:strCache>
                <c:ptCount val="1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</c:strCache>
            </c:strRef>
          </c:cat>
          <c:val>
            <c:numRef>
              <c:f>Planilha3!$B$5:$B$20</c:f>
              <c:numCache>
                <c:formatCode>_-* #,##0_-;\-* #,##0_-;_-* "-"??_-;_-@_-</c:formatCode>
                <c:ptCount val="15"/>
                <c:pt idx="0">
                  <c:v>9.1326716860597763</c:v>
                </c:pt>
                <c:pt idx="1">
                  <c:v>9.5155144877937481</c:v>
                </c:pt>
                <c:pt idx="2">
                  <c:v>10.049965776865161</c:v>
                </c:pt>
                <c:pt idx="3">
                  <c:v>10.302874743326489</c:v>
                </c:pt>
                <c:pt idx="4">
                  <c:v>10.603924252794888</c:v>
                </c:pt>
                <c:pt idx="5">
                  <c:v>10.996577686516085</c:v>
                </c:pt>
                <c:pt idx="6">
                  <c:v>11.413757700205338</c:v>
                </c:pt>
                <c:pt idx="7">
                  <c:v>11.723248916267396</c:v>
                </c:pt>
                <c:pt idx="8">
                  <c:v>12.043919689710243</c:v>
                </c:pt>
                <c:pt idx="9">
                  <c:v>12.480949121606207</c:v>
                </c:pt>
                <c:pt idx="10">
                  <c:v>12.800365046771617</c:v>
                </c:pt>
                <c:pt idx="11">
                  <c:v>13.139858544375999</c:v>
                </c:pt>
                <c:pt idx="12">
                  <c:v>13.509468400638832</c:v>
                </c:pt>
                <c:pt idx="13">
                  <c:v>13.889915582934064</c:v>
                </c:pt>
                <c:pt idx="14">
                  <c:v>14.272644307551905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9-49EA-832D-23380CC4B966}"/>
            </c:ext>
          </c:extLst>
        </c:ser>
        <c:ser>
          <c:idx val="1"/>
          <c:order val="1"/>
          <c:tx>
            <c:strRef>
              <c:f>Planilha3!$C$3:$C$4</c:f>
              <c:strCache>
                <c:ptCount val="1"/>
                <c:pt idx="0">
                  <c:v>Northeast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Planilha3!$A$5:$A$20</c:f>
              <c:strCache>
                <c:ptCount val="1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</c:strCache>
            </c:strRef>
          </c:cat>
          <c:val>
            <c:numRef>
              <c:f>Planilha3!$C$5:$C$20</c:f>
              <c:numCache>
                <c:formatCode>_-* #,##0_-;\-* #,##0_-;_-* "-"??_-;_-@_-</c:formatCode>
                <c:ptCount val="15"/>
                <c:pt idx="0">
                  <c:v>21.982432124115903</c:v>
                </c:pt>
                <c:pt idx="1">
                  <c:v>21.727469769564223</c:v>
                </c:pt>
                <c:pt idx="2">
                  <c:v>21.70784850558978</c:v>
                </c:pt>
                <c:pt idx="3">
                  <c:v>21.870978781656401</c:v>
                </c:pt>
                <c:pt idx="4">
                  <c:v>22.066735112936346</c:v>
                </c:pt>
                <c:pt idx="5">
                  <c:v>22.434747889573348</c:v>
                </c:pt>
                <c:pt idx="6">
                  <c:v>22.684804928131417</c:v>
                </c:pt>
                <c:pt idx="7">
                  <c:v>22.995665069587044</c:v>
                </c:pt>
                <c:pt idx="8">
                  <c:v>23.33504449007529</c:v>
                </c:pt>
                <c:pt idx="9">
                  <c:v>23.700205338809038</c:v>
                </c:pt>
                <c:pt idx="10">
                  <c:v>24.103353867214238</c:v>
                </c:pt>
                <c:pt idx="11">
                  <c:v>24.528519279032626</c:v>
                </c:pt>
                <c:pt idx="12">
                  <c:v>25.014145562400184</c:v>
                </c:pt>
                <c:pt idx="13">
                  <c:v>25.555555555555557</c:v>
                </c:pt>
                <c:pt idx="14">
                  <c:v>26.134953228382386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59-49EA-832D-23380CC4B966}"/>
            </c:ext>
          </c:extLst>
        </c:ser>
        <c:ser>
          <c:idx val="2"/>
          <c:order val="2"/>
          <c:tx>
            <c:strRef>
              <c:f>Planilha3!$D$3:$D$4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Planilha3!$A$5:$A$20</c:f>
              <c:strCache>
                <c:ptCount val="1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</c:strCache>
            </c:strRef>
          </c:cat>
          <c:val>
            <c:numRef>
              <c:f>Planilha3!$D$5:$D$20</c:f>
              <c:numCache>
                <c:formatCode>_-* #,##0_-;\-* #,##0_-;_-* "-"??_-;_-@_-</c:formatCode>
                <c:ptCount val="15"/>
                <c:pt idx="0">
                  <c:v>13.879534565366187</c:v>
                </c:pt>
                <c:pt idx="1">
                  <c:v>14.189025781428244</c:v>
                </c:pt>
                <c:pt idx="2">
                  <c:v>14.669404517453799</c:v>
                </c:pt>
                <c:pt idx="3">
                  <c:v>15.204996577686515</c:v>
                </c:pt>
                <c:pt idx="4">
                  <c:v>15.82569016655259</c:v>
                </c:pt>
                <c:pt idx="5">
                  <c:v>16.472735569244808</c:v>
                </c:pt>
                <c:pt idx="6">
                  <c:v>17.125941136208077</c:v>
                </c:pt>
                <c:pt idx="7">
                  <c:v>17.822381930184804</c:v>
                </c:pt>
                <c:pt idx="8">
                  <c:v>18.533082363677845</c:v>
                </c:pt>
                <c:pt idx="9">
                  <c:v>19.300365046771617</c:v>
                </c:pt>
                <c:pt idx="10">
                  <c:v>20.083390371891401</c:v>
                </c:pt>
                <c:pt idx="11">
                  <c:v>20.854209445585216</c:v>
                </c:pt>
                <c:pt idx="12">
                  <c:v>21.688797627195985</c:v>
                </c:pt>
                <c:pt idx="13">
                  <c:v>22.546315309148984</c:v>
                </c:pt>
                <c:pt idx="14">
                  <c:v>23.364704540269219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D59-49EA-832D-23380CC4B966}"/>
            </c:ext>
          </c:extLst>
        </c:ser>
        <c:ser>
          <c:idx val="3"/>
          <c:order val="3"/>
          <c:tx>
            <c:strRef>
              <c:f>Planilha3!$E$3:$E$4</c:f>
              <c:strCache>
                <c:ptCount val="1"/>
                <c:pt idx="0">
                  <c:v>Southeast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Planilha3!$A$5:$A$20</c:f>
              <c:strCache>
                <c:ptCount val="1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</c:strCache>
            </c:strRef>
          </c:cat>
          <c:val>
            <c:numRef>
              <c:f>Planilha3!$E$5:$E$20</c:f>
              <c:numCache>
                <c:formatCode>_-* #,##0_-;\-* #,##0_-;_-* "-"??_-;_-@_-</c:formatCode>
                <c:ptCount val="15"/>
                <c:pt idx="0">
                  <c:v>50.312571298197582</c:v>
                </c:pt>
                <c:pt idx="1">
                  <c:v>50.925507643166782</c:v>
                </c:pt>
                <c:pt idx="2">
                  <c:v>52.42961441934748</c:v>
                </c:pt>
                <c:pt idx="3">
                  <c:v>54.183093771389458</c:v>
                </c:pt>
                <c:pt idx="4">
                  <c:v>56.141341546885691</c:v>
                </c:pt>
                <c:pt idx="5">
                  <c:v>58.090691307323745</c:v>
                </c:pt>
                <c:pt idx="6">
                  <c:v>60.084074834588186</c:v>
                </c:pt>
                <c:pt idx="7">
                  <c:v>62.253479352041978</c:v>
                </c:pt>
                <c:pt idx="8">
                  <c:v>64.476386036960989</c:v>
                </c:pt>
                <c:pt idx="9">
                  <c:v>66.846566278804474</c:v>
                </c:pt>
                <c:pt idx="10">
                  <c:v>69.293406342687661</c:v>
                </c:pt>
                <c:pt idx="11">
                  <c:v>71.818503308236373</c:v>
                </c:pt>
                <c:pt idx="12">
                  <c:v>74.431895961670094</c:v>
                </c:pt>
                <c:pt idx="13">
                  <c:v>77.11419119324664</c:v>
                </c:pt>
                <c:pt idx="14">
                  <c:v>79.805612594113612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D59-49EA-832D-23380CC4B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181216"/>
        <c:axId val="1737176896"/>
      </c:lineChart>
      <c:catAx>
        <c:axId val="17371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176896"/>
        <c:crosses val="autoZero"/>
        <c:auto val="1"/>
        <c:lblAlgn val="ctr"/>
        <c:lblOffset val="100"/>
        <c:noMultiLvlLbl val="0"/>
      </c:catAx>
      <c:valAx>
        <c:axId val="173717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18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Comparação Dados Demanda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'MDI vs caderno'!$B$1</c:f>
              <c:strCache>
                <c:ptCount val="1"/>
                <c:pt idx="0">
                  <c:v>histórico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'MDI vs caderno'!$A$2:$A$22</c:f>
              <c:numCache>
                <c:formatCode>General</c:formatCode>
                <c:ptCount val="2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</c:numCache>
            </c:numRef>
          </c:cat>
          <c:val>
            <c:numRef>
              <c:f>'MDI vs caderno'!$B$2:$B$22</c:f>
              <c:numCache>
                <c:formatCode>General</c:formatCode>
                <c:ptCount val="21"/>
                <c:pt idx="0">
                  <c:v>67</c:v>
                </c:pt>
                <c:pt idx="1">
                  <c:v>68.180999999999997</c:v>
                </c:pt>
                <c:pt idx="2">
                  <c:v>67.885999999999996</c:v>
                </c:pt>
                <c:pt idx="3">
                  <c:v>70.837999999999994</c:v>
                </c:pt>
                <c:pt idx="4">
                  <c:v>72.313999999999993</c:v>
                </c:pt>
                <c:pt idx="5">
                  <c:v>74.97</c:v>
                </c:pt>
                <c:pt idx="6">
                  <c:v>77.037000000000006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D4-4BEB-B68A-183E5F91997F}"/>
            </c:ext>
          </c:extLst>
        </c:ser>
        <c:ser>
          <c:idx val="2"/>
          <c:order val="2"/>
          <c:tx>
            <c:strRef>
              <c:f>'MDI vs caderno'!$D$1</c:f>
              <c:strCache>
                <c:ptCount val="1"/>
                <c:pt idx="0">
                  <c:v>Caderno Ref. PDE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'MDI vs caderno'!$A$2:$A$22</c:f>
              <c:numCache>
                <c:formatCode>General</c:formatCode>
                <c:ptCount val="2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</c:numCache>
            </c:numRef>
          </c:cat>
          <c:val>
            <c:numRef>
              <c:f>'MDI vs caderno'!$D$2:$D$22</c:f>
              <c:numCache>
                <c:formatCode>General</c:formatCode>
                <c:ptCount val="21"/>
                <c:pt idx="6">
                  <c:v>77.037000000000006</c:v>
                </c:pt>
                <c:pt idx="7">
                  <c:v>79.840999999999994</c:v>
                </c:pt>
                <c:pt idx="8">
                  <c:v>82.350999999999999</c:v>
                </c:pt>
                <c:pt idx="9">
                  <c:v>85.302999999999997</c:v>
                </c:pt>
                <c:pt idx="10">
                  <c:v>87.959000000000003</c:v>
                </c:pt>
                <c:pt idx="11">
                  <c:v>91.058999999999997</c:v>
                </c:pt>
                <c:pt idx="12">
                  <c:v>93.863</c:v>
                </c:pt>
                <c:pt idx="13">
                  <c:v>96.814999999999998</c:v>
                </c:pt>
                <c:pt idx="14">
                  <c:v>99.768000000000001</c:v>
                </c:pt>
                <c:pt idx="15">
                  <c:v>103.16</c:v>
                </c:pt>
                <c:pt idx="16">
                  <c:v>106.26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D4-4BEB-B68A-183E5F91997F}"/>
            </c:ext>
          </c:extLst>
        </c:ser>
        <c:ser>
          <c:idx val="3"/>
          <c:order val="3"/>
          <c:tx>
            <c:strRef>
              <c:f>'MDI vs caderno'!$E$1</c:f>
              <c:strCache>
                <c:ptCount val="1"/>
                <c:pt idx="0">
                  <c:v>MDI depois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'MDI vs caderno'!$A$2:$A$22</c:f>
              <c:numCache>
                <c:formatCode>General</c:formatCode>
                <c:ptCount val="2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</c:numCache>
            </c:numRef>
          </c:cat>
          <c:val>
            <c:numRef>
              <c:f>'MDI vs caderno'!$E$2:$E$22</c:f>
              <c:numCache>
                <c:formatCode>General</c:formatCode>
                <c:ptCount val="21"/>
                <c:pt idx="6">
                  <c:v>78.247219142140082</c:v>
                </c:pt>
                <c:pt idx="7">
                  <c:v>79.109522016883403</c:v>
                </c:pt>
                <c:pt idx="8">
                  <c:v>81.161460073009366</c:v>
                </c:pt>
                <c:pt idx="9">
                  <c:v>83.382355920602322</c:v>
                </c:pt>
                <c:pt idx="10">
                  <c:v>85.907544375998171</c:v>
                </c:pt>
                <c:pt idx="11">
                  <c:v>88.663691763632201</c:v>
                </c:pt>
                <c:pt idx="12">
                  <c:v>91.3843430298882</c:v>
                </c:pt>
                <c:pt idx="13">
                  <c:v>94.246510495094682</c:v>
                </c:pt>
                <c:pt idx="14">
                  <c:v>97.196903148528392</c:v>
                </c:pt>
                <c:pt idx="15">
                  <c:v>100.43135843029889</c:v>
                </c:pt>
                <c:pt idx="16">
                  <c:v>103.67630333105178</c:v>
                </c:pt>
                <c:pt idx="17">
                  <c:v>107.01003536390598</c:v>
                </c:pt>
                <c:pt idx="18">
                  <c:v>110.54297650011409</c:v>
                </c:pt>
                <c:pt idx="19">
                  <c:v>114.20600764316677</c:v>
                </c:pt>
                <c:pt idx="20">
                  <c:v>117.87746794433035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D4-4BEB-B68A-183E5F919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61408"/>
        <c:axId val="13157196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'MDI vs caderno'!$C$1</c15:sqref>
                        </c15:formulaRef>
                      </c:ext>
                    </c:extLst>
                    <c:strCache>
                      <c:ptCount val="1"/>
                      <c:pt idx="0">
                        <c:v>MDI antes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'MDI vs caderno'!$A$2:$A$22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  <c:pt idx="8">
                        <c:v>2026</c:v>
                      </c:pt>
                      <c:pt idx="9">
                        <c:v>2027</c:v>
                      </c:pt>
                      <c:pt idx="10">
                        <c:v>2028</c:v>
                      </c:pt>
                      <c:pt idx="11">
                        <c:v>2029</c:v>
                      </c:pt>
                      <c:pt idx="12">
                        <c:v>2030</c:v>
                      </c:pt>
                      <c:pt idx="13">
                        <c:v>2031</c:v>
                      </c:pt>
                      <c:pt idx="14">
                        <c:v>2032</c:v>
                      </c:pt>
                      <c:pt idx="15">
                        <c:v>2033</c:v>
                      </c:pt>
                      <c:pt idx="16">
                        <c:v>2034</c:v>
                      </c:pt>
                      <c:pt idx="17">
                        <c:v>2035</c:v>
                      </c:pt>
                      <c:pt idx="18">
                        <c:v>2036</c:v>
                      </c:pt>
                      <c:pt idx="19">
                        <c:v>2037</c:v>
                      </c:pt>
                      <c:pt idx="20">
                        <c:v>2038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'MDI vs caderno'!$C$2:$C$22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6">
                        <c:v>95.30720967373945</c:v>
                      </c:pt>
                      <c:pt idx="7">
                        <c:v>96.357517681952999</c:v>
                      </c:pt>
                      <c:pt idx="8">
                        <c:v>98.856833219256231</c:v>
                      </c:pt>
                      <c:pt idx="9">
                        <c:v>101.56194387405887</c:v>
                      </c:pt>
                      <c:pt idx="10">
                        <c:v>104.63769107916951</c:v>
                      </c:pt>
                      <c:pt idx="11">
                        <c:v>107.99475245265799</c:v>
                      </c:pt>
                      <c:pt idx="12">
                        <c:v>111.30857859913301</c:v>
                      </c:pt>
                      <c:pt idx="13">
                        <c:v>114.79477526808122</c:v>
                      </c:pt>
                      <c:pt idx="14">
                        <c:v>118.38843258042436</c:v>
                      </c:pt>
                      <c:pt idx="15">
                        <c:v>122.32808578599133</c:v>
                      </c:pt>
                      <c:pt idx="16">
                        <c:v>126.28051562856491</c:v>
                      </c:pt>
                      <c:pt idx="17">
                        <c:v>130.3410905772302</c:v>
                      </c:pt>
                      <c:pt idx="18">
                        <c:v>134.64430755190511</c:v>
                      </c:pt>
                      <c:pt idx="19">
                        <c:v>139.10597764088524</c:v>
                      </c:pt>
                      <c:pt idx="20">
                        <c:v>143.57791467031711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FD4-4BEB-B68A-183E5F91997F}"/>
                  </c:ext>
                </c:extLst>
              </c15:ser>
            </c15:filteredLineSeries>
          </c:ext>
        </c:extLst>
      </c:lineChart>
      <c:catAx>
        <c:axId val="13156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571968"/>
        <c:crosses val="autoZero"/>
        <c:auto val="1"/>
        <c:lblAlgn val="ctr"/>
        <c:lblOffset val="100"/>
        <c:noMultiLvlLbl val="0"/>
      </c:catAx>
      <c:valAx>
        <c:axId val="131571968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Demanda (GWm)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56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[Calculo da Demanda.xlsx]Duracao!Tabela dinâmica1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Duracao!$K$28</c:f>
              <c:strCache>
                <c:ptCount val="1"/>
                <c:pt idx="0">
                  <c:v>Média de Bloco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Duracao!$J$29:$J$44</c:f>
              <c:strCache>
                <c:ptCount val="1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</c:strCache>
            </c:strRef>
          </c:cat>
          <c:val>
            <c:numRef>
              <c:f>Duracao!$K$29:$K$44</c:f>
              <c:numCache>
                <c:formatCode>0.0000</c:formatCode>
                <c:ptCount val="15"/>
                <c:pt idx="0">
                  <c:v>1.3699999999999999E-2</c:v>
                </c:pt>
                <c:pt idx="1">
                  <c:v>1.3699999999999999E-2</c:v>
                </c:pt>
                <c:pt idx="2">
                  <c:v>1.3699999999999999E-2</c:v>
                </c:pt>
                <c:pt idx="3">
                  <c:v>1.3699999999999999E-2</c:v>
                </c:pt>
                <c:pt idx="4">
                  <c:v>1.3699999999999999E-2</c:v>
                </c:pt>
                <c:pt idx="5">
                  <c:v>1.3699999999999999E-2</c:v>
                </c:pt>
                <c:pt idx="6">
                  <c:v>1.3699999999999999E-2</c:v>
                </c:pt>
                <c:pt idx="7">
                  <c:v>1.3699999999999999E-2</c:v>
                </c:pt>
                <c:pt idx="8">
                  <c:v>1.3699999999999999E-2</c:v>
                </c:pt>
                <c:pt idx="9">
                  <c:v>1.3699999999999999E-2</c:v>
                </c:pt>
                <c:pt idx="10">
                  <c:v>1.3699999999999999E-2</c:v>
                </c:pt>
                <c:pt idx="11">
                  <c:v>1.3699999999999999E-2</c:v>
                </c:pt>
                <c:pt idx="12">
                  <c:v>1.3699999999999999E-2</c:v>
                </c:pt>
                <c:pt idx="13">
                  <c:v>1.3699999999999999E-2</c:v>
                </c:pt>
                <c:pt idx="14">
                  <c:v>1.3699999999999999E-2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3C-4184-850A-C2ADA0E1F87E}"/>
            </c:ext>
          </c:extLst>
        </c:ser>
        <c:ser>
          <c:idx val="1"/>
          <c:order val="1"/>
          <c:tx>
            <c:strRef>
              <c:f>Duracao!$L$28</c:f>
              <c:strCache>
                <c:ptCount val="1"/>
                <c:pt idx="0">
                  <c:v>Média de Bloco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Duracao!$J$29:$J$44</c:f>
              <c:strCache>
                <c:ptCount val="1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</c:strCache>
            </c:strRef>
          </c:cat>
          <c:val>
            <c:numRef>
              <c:f>Duracao!$L$29:$L$44</c:f>
              <c:numCache>
                <c:formatCode>0.0000</c:formatCode>
                <c:ptCount val="15"/>
                <c:pt idx="0">
                  <c:v>0.33056666666666668</c:v>
                </c:pt>
                <c:pt idx="1">
                  <c:v>0.33115</c:v>
                </c:pt>
                <c:pt idx="2">
                  <c:v>0.33188333333333336</c:v>
                </c:pt>
                <c:pt idx="3">
                  <c:v>0.33288333333333336</c:v>
                </c:pt>
                <c:pt idx="4">
                  <c:v>0.33431666666666665</c:v>
                </c:pt>
                <c:pt idx="5">
                  <c:v>0.33539166666666659</c:v>
                </c:pt>
                <c:pt idx="6">
                  <c:v>0.33644166666666669</c:v>
                </c:pt>
                <c:pt idx="7">
                  <c:v>0.33750833333333335</c:v>
                </c:pt>
                <c:pt idx="8">
                  <c:v>0.33922500000000005</c:v>
                </c:pt>
                <c:pt idx="9">
                  <c:v>0.33966666666666673</c:v>
                </c:pt>
                <c:pt idx="10">
                  <c:v>0.34071666666666672</c:v>
                </c:pt>
                <c:pt idx="11">
                  <c:v>0.34160000000000007</c:v>
                </c:pt>
                <c:pt idx="12">
                  <c:v>0.33190000000000003</c:v>
                </c:pt>
                <c:pt idx="13">
                  <c:v>0.34339999999999998</c:v>
                </c:pt>
                <c:pt idx="14">
                  <c:v>0.34425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3C-4184-850A-C2ADA0E1F87E}"/>
            </c:ext>
          </c:extLst>
        </c:ser>
        <c:ser>
          <c:idx val="2"/>
          <c:order val="2"/>
          <c:tx>
            <c:strRef>
              <c:f>Duracao!$M$28</c:f>
              <c:strCache>
                <c:ptCount val="1"/>
                <c:pt idx="0">
                  <c:v>Média de Bloco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Duracao!$J$29:$J$44</c:f>
              <c:strCache>
                <c:ptCount val="1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</c:strCache>
            </c:strRef>
          </c:cat>
          <c:val>
            <c:numRef>
              <c:f>Duracao!$M$29:$M$44</c:f>
              <c:numCache>
                <c:formatCode>0.0000</c:formatCode>
                <c:ptCount val="15"/>
                <c:pt idx="0">
                  <c:v>0.48035</c:v>
                </c:pt>
                <c:pt idx="1">
                  <c:v>0.48067500000000002</c:v>
                </c:pt>
                <c:pt idx="2">
                  <c:v>0.4751083333333333</c:v>
                </c:pt>
                <c:pt idx="3">
                  <c:v>0.47444166666666659</c:v>
                </c:pt>
                <c:pt idx="4">
                  <c:v>0.47569166666666668</c:v>
                </c:pt>
                <c:pt idx="5">
                  <c:v>0.47460833333333335</c:v>
                </c:pt>
                <c:pt idx="6">
                  <c:v>0.47457499999999997</c:v>
                </c:pt>
                <c:pt idx="7">
                  <c:v>0.47548333333333331</c:v>
                </c:pt>
                <c:pt idx="8">
                  <c:v>0.47866666666666674</c:v>
                </c:pt>
                <c:pt idx="9">
                  <c:v>0.47950833333333326</c:v>
                </c:pt>
                <c:pt idx="10">
                  <c:v>0.48171666666666663</c:v>
                </c:pt>
                <c:pt idx="11">
                  <c:v>0.48371666666666657</c:v>
                </c:pt>
                <c:pt idx="12">
                  <c:v>0.48249999999999993</c:v>
                </c:pt>
                <c:pt idx="13">
                  <c:v>0.48777500000000001</c:v>
                </c:pt>
                <c:pt idx="14">
                  <c:v>0.48926666666666668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3C-4184-850A-C2ADA0E1F87E}"/>
            </c:ext>
          </c:extLst>
        </c:ser>
        <c:ser>
          <c:idx val="3"/>
          <c:order val="3"/>
          <c:tx>
            <c:strRef>
              <c:f>Duracao!$N$28</c:f>
              <c:strCache>
                <c:ptCount val="1"/>
                <c:pt idx="0">
                  <c:v>Média de Bloco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Duracao!$J$29:$J$44</c:f>
              <c:strCache>
                <c:ptCount val="1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</c:strCache>
            </c:strRef>
          </c:cat>
          <c:val>
            <c:numRef>
              <c:f>Duracao!$N$29:$N$44</c:f>
              <c:numCache>
                <c:formatCode>0.0000</c:formatCode>
                <c:ptCount val="15"/>
                <c:pt idx="0">
                  <c:v>0.17538333333333334</c:v>
                </c:pt>
                <c:pt idx="1">
                  <c:v>0.17447500000000002</c:v>
                </c:pt>
                <c:pt idx="2">
                  <c:v>0.17930833333333332</c:v>
                </c:pt>
                <c:pt idx="3">
                  <c:v>0.17897500000000002</c:v>
                </c:pt>
                <c:pt idx="4">
                  <c:v>0.17629166666666665</c:v>
                </c:pt>
                <c:pt idx="5">
                  <c:v>0.17629999999999998</c:v>
                </c:pt>
                <c:pt idx="6">
                  <c:v>0.17528333333333335</c:v>
                </c:pt>
                <c:pt idx="7">
                  <c:v>0.17330833333333331</c:v>
                </c:pt>
                <c:pt idx="8">
                  <c:v>0.16840833333333335</c:v>
                </c:pt>
                <c:pt idx="9">
                  <c:v>0.167125</c:v>
                </c:pt>
                <c:pt idx="10">
                  <c:v>0.16386666666666663</c:v>
                </c:pt>
                <c:pt idx="11">
                  <c:v>0.16098333333333334</c:v>
                </c:pt>
                <c:pt idx="12">
                  <c:v>0.17190000000000003</c:v>
                </c:pt>
                <c:pt idx="13">
                  <c:v>0.15512499999999999</c:v>
                </c:pt>
                <c:pt idx="14">
                  <c:v>0.1527833333333333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3C-4184-850A-C2ADA0E1F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7344032"/>
        <c:axId val="1267344512"/>
      </c:lineChart>
      <c:catAx>
        <c:axId val="126734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7344512"/>
        <c:crosses val="autoZero"/>
        <c:auto val="1"/>
        <c:lblAlgn val="ctr"/>
        <c:lblOffset val="100"/>
        <c:noMultiLvlLbl val="0"/>
      </c:catAx>
      <c:valAx>
        <c:axId val="12673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734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201930</xdr:colOff>
      <xdr:row>6</xdr:row>
      <xdr:rowOff>12382</xdr:rowOff>
    </xdr:from>
    <xdr:to>
      <xdr:col>15</xdr:col>
      <xdr:colOff>510540</xdr:colOff>
      <xdr:row>21</xdr:row>
      <xdr:rowOff>37147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A38C20-B2BD-D09E-2E2C-A6820EDED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563880</xdr:colOff>
      <xdr:row>4</xdr:row>
      <xdr:rowOff>60960</xdr:rowOff>
    </xdr:from>
    <xdr:to>
      <xdr:col>16</xdr:col>
      <xdr:colOff>350520</xdr:colOff>
      <xdr:row>25</xdr:row>
      <xdr:rowOff>99060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80C5C0-797E-2A50-B8BB-2A53216F7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129540</xdr:colOff>
      <xdr:row>27</xdr:row>
      <xdr:rowOff>11430</xdr:rowOff>
    </xdr:from>
    <xdr:to>
      <xdr:col>21</xdr:col>
      <xdr:colOff>434340</xdr:colOff>
      <xdr:row>42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AE0FCB-5B7B-8FCC-9076-FFB0A9748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Veiga Velasco" refreshedDate="46177.716128703702" createdVersion="8" refreshedVersion="8" minRefreshableVersion="3" recordCount="60" xr:uid="{D7DB77C5-56BA-4B0F-A01F-33DF7A158226}">
  <cacheSource type="worksheet">
    <worksheetSource ref="V4:X64" sheet="Duracao"/>
  </cacheSource>
  <cacheFields count="3">
    <cacheField name="sistema" numFmtId="0">
      <sharedItems count="4">
        <s v="North"/>
        <s v="Northeast"/>
        <s v="South"/>
        <s v="Southeast"/>
      </sharedItems>
    </cacheField>
    <cacheField name="ano" numFmtId="0">
      <sharedItems containsSemiMixedTypes="0" containsString="0" containsNumber="1" containsInteger="1" minValue="2024" maxValue="2038" count="15"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</sharedItems>
    </cacheField>
    <cacheField name="demanda" numFmtId="0">
      <sharedItems containsSemiMixedTypes="0" containsString="0" containsNumber="1" minValue="9.1326716860597763" maxValue="79.8056125941136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Veiga Velasco" refreshedDate="46316.643039120368" createdVersion="8" refreshedVersion="8" minRefreshableVersion="3" recordCount="180" xr:uid="{0AE4C12B-6703-4768-B155-E09B20FE1E70}">
  <cacheSource type="worksheet">
    <worksheetSource ref="C27:G207" sheet="Duracao"/>
  </cacheSource>
  <cacheFields count="8">
    <cacheField name="Data" numFmtId="17">
      <sharedItems containsSemiMixedTypes="0" containsNonDate="0" containsDate="1" containsString="0" minDate="2024-01-01T00:00:00" maxDate="2038-12-02T00:00:00" count="180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8-08-01T00:00:00"/>
        <d v="2028-09-01T00:00:00"/>
        <d v="2028-10-01T00:00:00"/>
        <d v="2028-11-01T00:00:00"/>
        <d v="2028-12-01T00:00:00"/>
        <d v="2029-01-01T00:00:00"/>
        <d v="2029-02-01T00:00:00"/>
        <d v="2029-03-01T00:00:00"/>
        <d v="2029-04-01T00:00:00"/>
        <d v="2029-05-01T00:00:00"/>
        <d v="2029-06-01T00:00:00"/>
        <d v="2029-07-01T00:00:00"/>
        <d v="2029-08-01T00:00:00"/>
        <d v="2029-09-01T00:00:00"/>
        <d v="2029-10-01T00:00:00"/>
        <d v="2029-11-01T00:00:00"/>
        <d v="2029-12-01T00:00:00"/>
        <d v="2030-01-01T00:00:00"/>
        <d v="2030-02-01T00:00:00"/>
        <d v="2030-03-01T00:00:00"/>
        <d v="2030-04-01T00:00:00"/>
        <d v="2030-05-01T00:00:00"/>
        <d v="2030-06-01T00:00:00"/>
        <d v="2030-07-01T00:00:00"/>
        <d v="2030-08-01T00:00:00"/>
        <d v="2030-09-01T00:00:00"/>
        <d v="2030-10-01T00:00:00"/>
        <d v="2030-11-01T00:00:00"/>
        <d v="2030-12-01T00:00:00"/>
        <d v="2031-01-01T00:00:00"/>
        <d v="2031-02-01T00:00:00"/>
        <d v="2031-03-01T00:00:00"/>
        <d v="2031-04-01T00:00:00"/>
        <d v="2031-05-01T00:00:00"/>
        <d v="2031-06-01T00:00:00"/>
        <d v="2031-07-01T00:00:00"/>
        <d v="2031-08-01T00:00:00"/>
        <d v="2031-09-01T00:00:00"/>
        <d v="2031-10-01T00:00:00"/>
        <d v="2031-11-01T00:00:00"/>
        <d v="2031-12-01T00:00:00"/>
        <d v="2032-01-01T00:00:00"/>
        <d v="2032-02-01T00:00:00"/>
        <d v="2032-03-01T00:00:00"/>
        <d v="2032-04-01T00:00:00"/>
        <d v="2032-05-01T00:00:00"/>
        <d v="2032-06-01T00:00:00"/>
        <d v="2032-07-01T00:00:00"/>
        <d v="2032-08-01T00:00:00"/>
        <d v="2032-09-01T00:00:00"/>
        <d v="2032-10-01T00:00:00"/>
        <d v="2032-11-01T00:00:00"/>
        <d v="2032-12-01T00:00:00"/>
        <d v="2033-01-01T00:00:00"/>
        <d v="2033-02-01T00:00:00"/>
        <d v="2033-03-01T00:00:00"/>
        <d v="2033-04-01T00:00:00"/>
        <d v="2033-05-01T00:00:00"/>
        <d v="2033-06-01T00:00:00"/>
        <d v="2033-07-01T00:00:00"/>
        <d v="2033-08-01T00:00:00"/>
        <d v="2033-09-01T00:00:00"/>
        <d v="2033-10-01T00:00:00"/>
        <d v="2033-11-01T00:00:00"/>
        <d v="2033-12-01T00:00:00"/>
        <d v="2034-01-01T00:00:00"/>
        <d v="2034-02-01T00:00:00"/>
        <d v="2034-03-01T00:00:00"/>
        <d v="2034-04-01T00:00:00"/>
        <d v="2034-05-01T00:00:00"/>
        <d v="2034-06-01T00:00:00"/>
        <d v="2034-07-01T00:00:00"/>
        <d v="2034-08-01T00:00:00"/>
        <d v="2034-09-01T00:00:00"/>
        <d v="2034-10-01T00:00:00"/>
        <d v="2034-11-01T00:00:00"/>
        <d v="2034-12-01T00:00:00"/>
        <d v="2035-01-01T00:00:00"/>
        <d v="2035-02-01T00:00:00"/>
        <d v="2035-03-01T00:00:00"/>
        <d v="2035-04-01T00:00:00"/>
        <d v="2035-05-01T00:00:00"/>
        <d v="2035-06-01T00:00:00"/>
        <d v="2035-07-01T00:00:00"/>
        <d v="2035-08-01T00:00:00"/>
        <d v="2035-09-01T00:00:00"/>
        <d v="2035-10-01T00:00:00"/>
        <d v="2035-11-01T00:00:00"/>
        <d v="2035-12-01T00:00:00"/>
        <d v="2036-01-01T00:00:00"/>
        <d v="2036-02-01T00:00:00"/>
        <d v="2036-03-01T00:00:00"/>
        <d v="2036-04-01T00:00:00"/>
        <d v="2036-05-01T00:00:00"/>
        <d v="2036-06-01T00:00:00"/>
        <d v="2036-07-01T00:00:00"/>
        <d v="2036-08-01T00:00:00"/>
        <d v="2036-09-01T00:00:00"/>
        <d v="2036-10-01T00:00:00"/>
        <d v="2036-11-01T00:00:00"/>
        <d v="2036-12-01T00:00:00"/>
        <d v="2037-01-01T00:00:00"/>
        <d v="2037-02-01T00:00:00"/>
        <d v="2037-03-01T00:00:00"/>
        <d v="2037-04-01T00:00:00"/>
        <d v="2037-05-01T00:00:00"/>
        <d v="2037-06-01T00:00:00"/>
        <d v="2037-07-01T00:00:00"/>
        <d v="2037-08-01T00:00:00"/>
        <d v="2037-09-01T00:00:00"/>
        <d v="2037-10-01T00:00:00"/>
        <d v="2037-11-01T00:00:00"/>
        <d v="2037-12-01T00:00:00"/>
        <d v="2038-01-01T00:00:00"/>
        <d v="2038-02-01T00:00:00"/>
        <d v="2038-03-01T00:00:00"/>
        <d v="2038-04-01T00:00:00"/>
        <d v="2038-05-01T00:00:00"/>
        <d v="2038-06-01T00:00:00"/>
        <d v="2038-07-01T00:00:00"/>
        <d v="2038-08-01T00:00:00"/>
        <d v="2038-09-01T00:00:00"/>
        <d v="2038-10-01T00:00:00"/>
        <d v="2038-11-01T00:00:00"/>
        <d v="2038-12-01T00:00:00"/>
      </sharedItems>
      <fieldGroup par="7"/>
    </cacheField>
    <cacheField name="Bloco 1" numFmtId="0">
      <sharedItems containsSemiMixedTypes="0" containsString="0" containsNumber="1" minValue="1.37E-2" maxValue="1.37E-2"/>
    </cacheField>
    <cacheField name="Bloco 2" numFmtId="0">
      <sharedItems containsSemiMixedTypes="0" containsString="0" containsNumber="1" minValue="0.1837" maxValue="0.375"/>
    </cacheField>
    <cacheField name="Bloco 3" numFmtId="0">
      <sharedItems containsSemiMixedTypes="0" containsString="0" containsNumber="1" minValue="0.41949999999999998" maxValue="0.54249999999999998"/>
    </cacheField>
    <cacheField name="Bloco 4" numFmtId="0">
      <sharedItems containsSemiMixedTypes="0" containsString="0" containsNumber="1" minValue="0.1134" maxValue="0.33700000000000002"/>
    </cacheField>
    <cacheField name="Meses (Data)" numFmtId="0" databaseField="0">
      <fieldGroup base="0">
        <rangePr groupBy="months" startDate="2024-01-01T00:00:00" endDate="2038-12-02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38"/>
        </groupItems>
      </fieldGroup>
    </cacheField>
    <cacheField name="Trimestres (Data)" numFmtId="0" databaseField="0">
      <fieldGroup base="0">
        <rangePr groupBy="quarters" startDate="2024-01-01T00:00:00" endDate="2038-12-02T00:00:00"/>
        <groupItems count="6">
          <s v="&lt;01/01/2024"/>
          <s v="Trim1"/>
          <s v="Trim2"/>
          <s v="Trim3"/>
          <s v="Trim4"/>
          <s v="&gt;02/12/2038"/>
        </groupItems>
      </fieldGroup>
    </cacheField>
    <cacheField name="Anos (Data)" numFmtId="0" databaseField="0">
      <fieldGroup base="0">
        <rangePr groupBy="years" startDate="2024-01-01T00:00:00" endDate="2038-12-02T00:00:00"/>
        <groupItems count="17">
          <s v="&lt;01/01/2024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2037"/>
          <s v="2038"/>
          <s v="&gt;02/12/203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Veiga Velasco" refreshedDate="46316.653902893515" createdVersion="8" refreshedVersion="8" minRefreshableVersion="3" recordCount="180" xr:uid="{F76D9C77-70C2-4FBB-805F-5BBE40B41BE6}">
  <cacheSource type="worksheet">
    <worksheetSource ref="A56:E236" sheet="Pu media"/>
  </cacheSource>
  <cacheFields count="8">
    <cacheField name="Data" numFmtId="17">
      <sharedItems containsSemiMixedTypes="0" containsNonDate="0" containsDate="1" containsString="0" minDate="2024-01-01T00:00:00" maxDate="2038-12-02T00:00:00" count="180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8-08-01T00:00:00"/>
        <d v="2028-09-01T00:00:00"/>
        <d v="2028-10-01T00:00:00"/>
        <d v="2028-11-01T00:00:00"/>
        <d v="2028-12-01T00:00:00"/>
        <d v="2029-01-01T00:00:00"/>
        <d v="2029-02-01T00:00:00"/>
        <d v="2029-03-01T00:00:00"/>
        <d v="2029-04-01T00:00:00"/>
        <d v="2029-05-01T00:00:00"/>
        <d v="2029-06-01T00:00:00"/>
        <d v="2029-07-01T00:00:00"/>
        <d v="2029-08-01T00:00:00"/>
        <d v="2029-09-01T00:00:00"/>
        <d v="2029-10-01T00:00:00"/>
        <d v="2029-11-01T00:00:00"/>
        <d v="2029-12-01T00:00:00"/>
        <d v="2030-01-01T00:00:00"/>
        <d v="2030-02-01T00:00:00"/>
        <d v="2030-03-01T00:00:00"/>
        <d v="2030-04-01T00:00:00"/>
        <d v="2030-05-01T00:00:00"/>
        <d v="2030-06-01T00:00:00"/>
        <d v="2030-07-01T00:00:00"/>
        <d v="2030-08-01T00:00:00"/>
        <d v="2030-09-01T00:00:00"/>
        <d v="2030-10-01T00:00:00"/>
        <d v="2030-11-01T00:00:00"/>
        <d v="2030-12-01T00:00:00"/>
        <d v="2031-01-01T00:00:00"/>
        <d v="2031-02-01T00:00:00"/>
        <d v="2031-03-01T00:00:00"/>
        <d v="2031-04-01T00:00:00"/>
        <d v="2031-05-01T00:00:00"/>
        <d v="2031-06-01T00:00:00"/>
        <d v="2031-07-01T00:00:00"/>
        <d v="2031-08-01T00:00:00"/>
        <d v="2031-09-01T00:00:00"/>
        <d v="2031-10-01T00:00:00"/>
        <d v="2031-11-01T00:00:00"/>
        <d v="2031-12-01T00:00:00"/>
        <d v="2032-01-01T00:00:00"/>
        <d v="2032-02-01T00:00:00"/>
        <d v="2032-03-01T00:00:00"/>
        <d v="2032-04-01T00:00:00"/>
        <d v="2032-05-01T00:00:00"/>
        <d v="2032-06-01T00:00:00"/>
        <d v="2032-07-01T00:00:00"/>
        <d v="2032-08-01T00:00:00"/>
        <d v="2032-09-01T00:00:00"/>
        <d v="2032-10-01T00:00:00"/>
        <d v="2032-11-01T00:00:00"/>
        <d v="2032-12-01T00:00:00"/>
        <d v="2033-01-01T00:00:00"/>
        <d v="2033-02-01T00:00:00"/>
        <d v="2033-03-01T00:00:00"/>
        <d v="2033-04-01T00:00:00"/>
        <d v="2033-05-01T00:00:00"/>
        <d v="2033-06-01T00:00:00"/>
        <d v="2033-07-01T00:00:00"/>
        <d v="2033-08-01T00:00:00"/>
        <d v="2033-09-01T00:00:00"/>
        <d v="2033-10-01T00:00:00"/>
        <d v="2033-11-01T00:00:00"/>
        <d v="2033-12-01T00:00:00"/>
        <d v="2034-01-01T00:00:00"/>
        <d v="2034-02-01T00:00:00"/>
        <d v="2034-03-01T00:00:00"/>
        <d v="2034-04-01T00:00:00"/>
        <d v="2034-05-01T00:00:00"/>
        <d v="2034-06-01T00:00:00"/>
        <d v="2034-07-01T00:00:00"/>
        <d v="2034-08-01T00:00:00"/>
        <d v="2034-09-01T00:00:00"/>
        <d v="2034-10-01T00:00:00"/>
        <d v="2034-11-01T00:00:00"/>
        <d v="2034-12-01T00:00:00"/>
        <d v="2035-01-01T00:00:00"/>
        <d v="2035-02-01T00:00:00"/>
        <d v="2035-03-01T00:00:00"/>
        <d v="2035-04-01T00:00:00"/>
        <d v="2035-05-01T00:00:00"/>
        <d v="2035-06-01T00:00:00"/>
        <d v="2035-07-01T00:00:00"/>
        <d v="2035-08-01T00:00:00"/>
        <d v="2035-09-01T00:00:00"/>
        <d v="2035-10-01T00:00:00"/>
        <d v="2035-11-01T00:00:00"/>
        <d v="2035-12-01T00:00:00"/>
        <d v="2036-01-01T00:00:00"/>
        <d v="2036-02-01T00:00:00"/>
        <d v="2036-03-01T00:00:00"/>
        <d v="2036-04-01T00:00:00"/>
        <d v="2036-05-01T00:00:00"/>
        <d v="2036-06-01T00:00:00"/>
        <d v="2036-07-01T00:00:00"/>
        <d v="2036-08-01T00:00:00"/>
        <d v="2036-09-01T00:00:00"/>
        <d v="2036-10-01T00:00:00"/>
        <d v="2036-11-01T00:00:00"/>
        <d v="2036-12-01T00:00:00"/>
        <d v="2037-01-01T00:00:00"/>
        <d v="2037-02-01T00:00:00"/>
        <d v="2037-03-01T00:00:00"/>
        <d v="2037-04-01T00:00:00"/>
        <d v="2037-05-01T00:00:00"/>
        <d v="2037-06-01T00:00:00"/>
        <d v="2037-07-01T00:00:00"/>
        <d v="2037-08-01T00:00:00"/>
        <d v="2037-09-01T00:00:00"/>
        <d v="2037-10-01T00:00:00"/>
        <d v="2037-11-01T00:00:00"/>
        <d v="2037-12-01T00:00:00"/>
        <d v="2038-01-01T00:00:00"/>
        <d v="2038-02-01T00:00:00"/>
        <d v="2038-03-01T00:00:00"/>
        <d v="2038-04-01T00:00:00"/>
        <d v="2038-05-01T00:00:00"/>
        <d v="2038-06-01T00:00:00"/>
        <d v="2038-07-01T00:00:00"/>
        <d v="2038-08-01T00:00:00"/>
        <d v="2038-09-01T00:00:00"/>
        <d v="2038-10-01T00:00:00"/>
        <d v="2038-11-01T00:00:00"/>
        <d v="2038-12-01T00:00:00"/>
      </sharedItems>
      <fieldGroup par="7"/>
    </cacheField>
    <cacheField name="1" numFmtId="0">
      <sharedItems containsSemiMixedTypes="0" containsString="0" containsNumber="1" minValue="1.2671142857142859" maxValue="1.4707142857142856" count="179">
        <n v="1.2999142857142856"/>
        <n v="1.3134857142857144"/>
        <n v="1.3382000000000001"/>
        <n v="1.3547428571428572"/>
        <n v="1.4460571428571427"/>
        <n v="1.3947714285714283"/>
        <n v="1.3970714285714287"/>
        <n v="1.3382857142857143"/>
        <n v="1.2671142857142859"/>
        <n v="1.3326714285714287"/>
        <n v="1.3918142857142857"/>
        <n v="1.3467857142857143"/>
        <n v="1.316057142857143"/>
        <n v="1.3247"/>
        <n v="1.3659999999999999"/>
        <n v="1.3711714285714287"/>
        <n v="1.4614142857142856"/>
        <n v="1.4074428571428572"/>
        <n v="1.4097999999999999"/>
        <n v="1.3485142857142858"/>
        <n v="1.2737428571428571"/>
        <n v="1.3422714285714286"/>
        <n v="1.4019428571428574"/>
        <n v="1.3546857142857143"/>
        <n v="1.3243714285714285"/>
        <n v="1.3328285714285715"/>
        <n v="1.3745571428571428"/>
        <n v="1.3791285714285715"/>
        <n v="1.4671428571428571"/>
        <n v="1.4132714285714285"/>
        <n v="1.4166000000000001"/>
        <n v="1.3543714285714283"/>
        <n v="1.2785571428571427"/>
        <n v="1.3480142857142856"/>
        <n v="1.407057142857143"/>
        <n v="1.3598999999999999"/>
        <n v="1.3285"/>
        <n v="1.3354142857142857"/>
        <n v="1.377114285714286"/>
        <n v="1.3820714285714284"/>
        <n v="1.4700571428571425"/>
        <n v="1.4178714285714287"/>
        <n v="1.4221857142857142"/>
        <n v="1.3604857142857143"/>
        <n v="1.2844142857142857"/>
        <n v="1.3527285714285711"/>
        <n v="1.4099571428571427"/>
        <n v="1.3627714285714287"/>
        <n v="1.3333285714285714"/>
        <n v="1.3418142857142856"/>
        <n v="1.3697428571428572"/>
        <n v="1.3828142857142858"/>
        <n v="1.4706571428571429"/>
        <n v="1.4209285714285713"/>
        <n v="1.4264999999999997"/>
        <n v="1.365142857142857"/>
        <n v="1.2891857142857144"/>
        <n v="1.3556000000000001"/>
        <n v="1.4106428571428573"/>
        <n v="1.3641428571428571"/>
        <n v="1.3335285714285714"/>
        <n v="1.3356571428571427"/>
        <n v="1.3767285714285715"/>
        <n v="1.3825428571428573"/>
        <n v="1.4707142857142856"/>
        <n v="1.4265142857142858"/>
        <n v="1.4344999999999999"/>
        <n v="1.3747"/>
        <n v="1.296442857142857"/>
        <n v="1.3614571428571429"/>
        <n v="1.4131571428571428"/>
        <n v="1.3660999999999999"/>
        <n v="1.3338285714285714"/>
        <n v="1.3350000000000002"/>
        <n v="1.3757714285714289"/>
        <n v="1.3818142857142859"/>
        <n v="1.4698999999999998"/>
        <n v="1.4288999999999998"/>
        <n v="1.4388714285714286"/>
        <n v="1.3798428571428569"/>
        <n v="1.3008857142857144"/>
        <n v="1.3638571428571427"/>
        <n v="1.4133142857142857"/>
        <n v="1.3662571428571426"/>
        <n v="1.3340142857142856"/>
        <n v="1.3339571428571426"/>
        <n v="1.3742428571428571"/>
        <n v="1.3804000000000001"/>
        <n v="1.4680428571428572"/>
        <n v="1.4308571428571428"/>
        <n v="1.4429571428571428"/>
        <n v="1.3848285714285713"/>
        <n v="1.3049428571428572"/>
        <n v="1.3653571428571429"/>
        <n v="1.4134285714285717"/>
        <n v="1.3647428571428573"/>
        <n v="1.3365571428571428"/>
        <n v="1.3639428571428573"/>
        <n v="1.3780428571428571"/>
        <n v="1.4652142857142856"/>
        <n v="1.431657142857143"/>
        <n v="1.4461142857142857"/>
        <n v="1.3890714285714285"/>
        <n v="1.3085714285714285"/>
        <n v="1.3658714285714286"/>
        <n v="1.4110571428571428"/>
        <n v="1.3628285714285713"/>
        <n v="1.3305142857142855"/>
        <n v="1.3282857142857143"/>
        <n v="1.3679714285714286"/>
        <n v="1.3742999999999999"/>
        <n v="1.4610428571428571"/>
        <n v="1.4314000000000002"/>
        <n v="1.4487142857142856"/>
        <n v="1.3932"/>
        <n v="1.3115142857142856"/>
        <n v="1.3661285714285714"/>
        <n v="1.4093571428571428"/>
        <n v="1.3602142857142856"/>
        <n v="1.3284142857142858"/>
        <n v="1.3251285714285714"/>
        <n v="1.3644999999999998"/>
        <n v="1.3709285714285715"/>
        <n v="1.4570714285714286"/>
        <n v="1.4311"/>
        <n v="1.451057142857143"/>
        <n v="1.397342857142857"/>
        <n v="1.3146428571428572"/>
        <n v="1.3658999999999999"/>
        <n v="1.4068428571428571"/>
        <n v="1.3575999999999999"/>
        <n v="1.3261714285714288"/>
        <n v="1.3219285714285713"/>
        <n v="1.361057142857143"/>
        <n v="1.3676285714285714"/>
        <n v="1.4530857142857143"/>
        <n v="1.4305000000000001"/>
        <n v="1.4528571428571428"/>
        <n v="1.4012428571428572"/>
        <n v="1.3175428571428571"/>
        <n v="1.3650714285714289"/>
        <n v="1.4042999999999999"/>
        <n v="1.3528"/>
        <n v="1.3242285714285715"/>
        <n v="1.3176428571428571"/>
        <n v="1.3505285714285713"/>
        <n v="1.3641142857142856"/>
        <n v="1.4486285714285714"/>
        <n v="1.429742857142857"/>
        <n v="1.4542142857142859"/>
        <n v="1.4050428571428573"/>
        <n v="1.3199857142857143"/>
        <n v="1.3633142857142857"/>
        <n v="1.4002571428571429"/>
        <n v="1.3501285714285713"/>
        <n v="1.3207285714285713"/>
        <n v="1.314942857142857"/>
        <n v="1.3534857142857142"/>
        <n v="1.3600857142857143"/>
        <n v="1.443842857142857"/>
        <n v="1.4286857142857143"/>
        <n v="1.4551714285714288"/>
        <n v="1.4090857142857143"/>
        <n v="1.3222571428571428"/>
        <n v="1.3618571428571431"/>
        <n v="1.3977142857142859"/>
        <n v="1.3473857142857142"/>
        <n v="1.3193999999999999"/>
        <n v="1.3116000000000001"/>
        <n v="1.350657142857143"/>
        <n v="1.3565"/>
        <n v="1.4395571428571432"/>
        <n v="1.4276"/>
        <n v="1.4552714285714285"/>
        <n v="1.4124714285714286"/>
        <n v="1.3240714285714286"/>
        <n v="1.3597999999999999"/>
        <n v="1.3946571428571428"/>
        <n v="1.3444"/>
      </sharedItems>
    </cacheField>
    <cacheField name="2" numFmtId="0">
      <sharedItems containsSemiMixedTypes="0" containsString="0" containsNumber="1" minValue="1.098257142857143" maxValue="1.209842857142857" count="178">
        <n v="1.109157142857143"/>
        <n v="1.098742857142857"/>
        <n v="1.1235571428571429"/>
        <n v="1.1426714285714286"/>
        <n v="1.1654714285714285"/>
        <n v="1.1448285714285713"/>
        <n v="1.1429000000000002"/>
        <n v="1.1484000000000001"/>
        <n v="1.1269714285714285"/>
        <n v="1.1195285714285714"/>
        <n v="1.1201285714285714"/>
        <n v="1.1297999999999999"/>
        <n v="1.1074857142857142"/>
        <n v="1.098257142857143"/>
        <n v="1.1303000000000001"/>
        <n v="1.1443857142857143"/>
        <n v="1.1639428571428572"/>
        <n v="1.1479571428571429"/>
        <n v="1.1472714285714285"/>
        <n v="1.1536714285714285"/>
        <n v="1.1308714285714285"/>
        <n v="1.1222142857142856"/>
        <n v="1.1217428571428572"/>
        <n v="1.1308142857142855"/>
        <n v="1.1064428571428571"/>
        <n v="1.1004428571428571"/>
        <n v="1.1307142857142856"/>
        <n v="1.1456857142857142"/>
        <n v="1.1646285714285713"/>
        <n v="1.1500571428571431"/>
        <n v="1.1496142857142857"/>
        <n v="1.1555285714285717"/>
        <n v="1.1325857142857143"/>
        <n v="1.1234"/>
        <n v="1.1232714285714285"/>
        <n v="1.1323000000000001"/>
        <n v="1.1079571428571426"/>
        <n v="1.1035428571428572"/>
        <n v="1.1331714285714285"/>
        <n v="1.1481285714285714"/>
        <n v="1.1664714285714286"/>
        <n v="1.1520428571428571"/>
        <n v="1.1507714285714286"/>
        <n v="1.156914285714286"/>
        <n v="1.1340142857142859"/>
        <n v="1.1248857142857143"/>
        <n v="1.1256714285714284"/>
        <n v="1.1345857142857141"/>
        <n v="1.1094285714285717"/>
        <n v="1.1104000000000001"/>
        <n v="1.1292714285714285"/>
        <n v="1.1501714285714286"/>
        <n v="1.1678285714285714"/>
        <n v="1.153385714285714"/>
        <n v="1.1516714285714287"/>
        <n v="1.1575714285714285"/>
        <n v="1.1347285714285713"/>
        <n v="1.1258428571428571"/>
        <n v="1.1273714285714285"/>
        <n v="1.1366714285714286"/>
        <n v="1.1116285714285714"/>
        <n v="1.1084714285714286"/>
        <n v="1.137342857142857"/>
        <n v="1.1521142857142856"/>
        <n v="1.1696285714285715"/>
        <n v="1.1553142857142855"/>
        <n v="1.1526714285714286"/>
        <n v="1.1580714285714286"/>
        <n v="1.135542857142857"/>
        <n v="1.1274571428571429"/>
        <n v="1.1302857142857143"/>
        <n v="1.1393"/>
        <n v="1.1129857142857142"/>
        <n v="1.1104999999999998"/>
        <n v="1.1389285714285715"/>
        <n v="1.1536428571428574"/>
        <n v="1.1708857142857145"/>
        <n v="1.1569285714285713"/>
        <n v="1.1536714285714287"/>
        <n v="1.1585857142857143"/>
        <n v="1.1361571428571429"/>
        <n v="1.1285428571428571"/>
        <n v="1.1320285714285714"/>
        <n v="1.1411"/>
        <n v="1.1144571428571428"/>
        <n v="1.1122999999999998"/>
        <n v="1.1403285714285716"/>
        <n v="1.1550571428571428"/>
        <n v="1.1720857142857142"/>
        <n v="1.1588857142857143"/>
        <n v="1.1543571428571429"/>
        <n v="1.1587428571428571"/>
        <n v="1.1362857142857141"/>
        <n v="1.1293857142857144"/>
        <n v="1.1335000000000002"/>
        <n v="1.1422857142857143"/>
        <n v="1.1158142857142859"/>
        <n v="1.116842857142857"/>
        <n v="1.1353285714285715"/>
        <n v="1.1560571428571429"/>
        <n v="1.1730714285714285"/>
        <n v="1.1604285714285716"/>
        <n v="1.1545857142857141"/>
        <n v="1.1583142857142856"/>
        <n v="1.1359142857142857"/>
        <n v="1.1298142857142857"/>
        <n v="1.1345571428571428"/>
        <n v="1.1435"/>
        <n v="1.1158142857142856"/>
        <n v="1.1132000000000002"/>
        <n v="1.1415857142857144"/>
        <n v="1.1562428571428571"/>
        <n v="1.1732857142857145"/>
        <n v="1.1616714285714287"/>
        <n v="1.1547857142857143"/>
        <n v="1.1579285714285714"/>
        <n v="1.1355428571428572"/>
        <n v="1.1305000000000001"/>
        <n v="1.1358571428571429"/>
        <n v="1.1442714285714286"/>
        <n v="1.1164857142857141"/>
        <n v="1.1134999999999999"/>
        <n v="1.1421142857142859"/>
        <n v="1.1567285714285713"/>
        <n v="1.1737714285714287"/>
        <n v="1.1634285714285715"/>
        <n v="1.1555"/>
        <n v="1.1578285714285712"/>
        <n v="1.1355285714285714"/>
        <n v="1.131342857142857"/>
        <n v="1.136957142857143"/>
        <n v="1.1451"/>
        <n v="1.1170714285714285"/>
        <n v="1.1137857142857144"/>
        <n v="1.1425000000000001"/>
        <n v="1.1570285714285713"/>
        <n v="1.1743428571428571"/>
        <n v="1.1651714285714285"/>
        <n v="1.1565285714285716"/>
        <n v="1.1580999999999999"/>
        <n v="1.1325000000000001"/>
        <n v="1.1380999999999999"/>
        <n v="1.1460428571428571"/>
        <n v="1.1179857142857141"/>
        <n v="1.1180857142857143"/>
        <n v="1.1371285714285715"/>
        <n v="1.1574714285714285"/>
        <n v="1.1747571428571428"/>
        <n v="1.209842857142857"/>
        <n v="1.1578142857142857"/>
        <n v="1.1583428571428571"/>
        <n v="1.1364000000000001"/>
        <n v="1.1333"/>
        <n v="1.1387428571428571"/>
        <n v="1.1467571428571428"/>
        <n v="1.1178857142857141"/>
        <n v="1.1139714285714286"/>
        <n v="1.1429142857142855"/>
        <n v="1.1749571428571428"/>
        <n v="1.1684285714285714"/>
        <n v="1.1596571428571429"/>
        <n v="1.1589857142857143"/>
        <n v="1.1374"/>
        <n v="1.1347428571428571"/>
        <n v="1.1399571428571431"/>
        <n v="1.1473285714285715"/>
        <n v="1.1187"/>
        <n v="1.1140857142857143"/>
        <n v="1.1435571428571429"/>
        <n v="1.1576428571428572"/>
        <n v="1.1752714285714287"/>
        <n v="1.1700857142857146"/>
        <n v="1.1614142857142855"/>
        <n v="1.1605428571428571"/>
        <n v="1.1387"/>
        <n v="1.1361428571428571"/>
        <n v="1.1407571428571428"/>
        <n v="1.1475714285714285"/>
      </sharedItems>
    </cacheField>
    <cacheField name="3" numFmtId="0">
      <sharedItems containsSemiMixedTypes="0" containsString="0" containsNumber="1" minValue="0.93567142857142849" maxValue="1.0074714285714286"/>
    </cacheField>
    <cacheField name="4" numFmtId="0">
      <sharedItems containsSemiMixedTypes="0" containsString="0" containsNumber="1" minValue="0.74161428571428567" maxValue="0.85780000000000012"/>
    </cacheField>
    <cacheField name="Meses (Data)" numFmtId="0" databaseField="0">
      <fieldGroup base="0">
        <rangePr groupBy="months" startDate="2024-01-01T00:00:00" endDate="2038-12-02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38"/>
        </groupItems>
      </fieldGroup>
    </cacheField>
    <cacheField name="Trimestres (Data)" numFmtId="0" databaseField="0">
      <fieldGroup base="0">
        <rangePr groupBy="quarters" startDate="2024-01-01T00:00:00" endDate="2038-12-02T00:00:00"/>
        <groupItems count="6">
          <s v="&lt;01/01/2024"/>
          <s v="Trim1"/>
          <s v="Trim2"/>
          <s v="Trim3"/>
          <s v="Trim4"/>
          <s v="&gt;02/12/2038"/>
        </groupItems>
      </fieldGroup>
    </cacheField>
    <cacheField name="Anos (Data)" numFmtId="0" databaseField="0">
      <fieldGroup base="0">
        <rangePr groupBy="years" startDate="2024-01-01T00:00:00" endDate="2038-12-02T00:00:00"/>
        <groupItems count="17">
          <s v="&lt;01/01/2024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2037"/>
          <s v="2038"/>
          <s v="&gt;02/12/203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9.1326716860597763"/>
  </r>
  <r>
    <x v="0"/>
    <x v="1"/>
    <n v="9.5155144877937481"/>
  </r>
  <r>
    <x v="0"/>
    <x v="2"/>
    <n v="10.049965776865161"/>
  </r>
  <r>
    <x v="0"/>
    <x v="3"/>
    <n v="10.302874743326489"/>
  </r>
  <r>
    <x v="0"/>
    <x v="4"/>
    <n v="10.603924252794888"/>
  </r>
  <r>
    <x v="0"/>
    <x v="5"/>
    <n v="10.996577686516085"/>
  </r>
  <r>
    <x v="0"/>
    <x v="6"/>
    <n v="11.413757700205338"/>
  </r>
  <r>
    <x v="0"/>
    <x v="7"/>
    <n v="11.723248916267396"/>
  </r>
  <r>
    <x v="0"/>
    <x v="8"/>
    <n v="12.043919689710243"/>
  </r>
  <r>
    <x v="0"/>
    <x v="9"/>
    <n v="12.480949121606207"/>
  </r>
  <r>
    <x v="0"/>
    <x v="10"/>
    <n v="12.800365046771617"/>
  </r>
  <r>
    <x v="0"/>
    <x v="11"/>
    <n v="13.139858544375999"/>
  </r>
  <r>
    <x v="0"/>
    <x v="12"/>
    <n v="13.509468400638832"/>
  </r>
  <r>
    <x v="0"/>
    <x v="13"/>
    <n v="13.889915582934064"/>
  </r>
  <r>
    <x v="0"/>
    <x v="14"/>
    <n v="14.272644307551905"/>
  </r>
  <r>
    <x v="1"/>
    <x v="0"/>
    <n v="21.982432124115903"/>
  </r>
  <r>
    <x v="1"/>
    <x v="1"/>
    <n v="21.727469769564223"/>
  </r>
  <r>
    <x v="1"/>
    <x v="2"/>
    <n v="21.70784850558978"/>
  </r>
  <r>
    <x v="1"/>
    <x v="3"/>
    <n v="21.870978781656401"/>
  </r>
  <r>
    <x v="1"/>
    <x v="4"/>
    <n v="22.066735112936346"/>
  </r>
  <r>
    <x v="1"/>
    <x v="5"/>
    <n v="22.434747889573348"/>
  </r>
  <r>
    <x v="1"/>
    <x v="6"/>
    <n v="22.684804928131417"/>
  </r>
  <r>
    <x v="1"/>
    <x v="7"/>
    <n v="22.995665069587044"/>
  </r>
  <r>
    <x v="1"/>
    <x v="8"/>
    <n v="23.33504449007529"/>
  </r>
  <r>
    <x v="1"/>
    <x v="9"/>
    <n v="23.700205338809038"/>
  </r>
  <r>
    <x v="1"/>
    <x v="10"/>
    <n v="24.103353867214238"/>
  </r>
  <r>
    <x v="1"/>
    <x v="11"/>
    <n v="24.528519279032626"/>
  </r>
  <r>
    <x v="1"/>
    <x v="12"/>
    <n v="25.014145562400184"/>
  </r>
  <r>
    <x v="1"/>
    <x v="13"/>
    <n v="25.555555555555557"/>
  </r>
  <r>
    <x v="1"/>
    <x v="14"/>
    <n v="26.134953228382386"/>
  </r>
  <r>
    <x v="2"/>
    <x v="0"/>
    <n v="13.879534565366187"/>
  </r>
  <r>
    <x v="2"/>
    <x v="1"/>
    <n v="14.189025781428244"/>
  </r>
  <r>
    <x v="2"/>
    <x v="2"/>
    <n v="14.669404517453799"/>
  </r>
  <r>
    <x v="2"/>
    <x v="3"/>
    <n v="15.204996577686515"/>
  </r>
  <r>
    <x v="2"/>
    <x v="4"/>
    <n v="15.82569016655259"/>
  </r>
  <r>
    <x v="2"/>
    <x v="5"/>
    <n v="16.472735569244808"/>
  </r>
  <r>
    <x v="2"/>
    <x v="6"/>
    <n v="17.125941136208077"/>
  </r>
  <r>
    <x v="2"/>
    <x v="7"/>
    <n v="17.822381930184804"/>
  </r>
  <r>
    <x v="2"/>
    <x v="8"/>
    <n v="18.533082363677845"/>
  </r>
  <r>
    <x v="2"/>
    <x v="9"/>
    <n v="19.300365046771617"/>
  </r>
  <r>
    <x v="2"/>
    <x v="10"/>
    <n v="20.083390371891401"/>
  </r>
  <r>
    <x v="2"/>
    <x v="11"/>
    <n v="20.854209445585216"/>
  </r>
  <r>
    <x v="2"/>
    <x v="12"/>
    <n v="21.688797627195985"/>
  </r>
  <r>
    <x v="2"/>
    <x v="13"/>
    <n v="22.546315309148984"/>
  </r>
  <r>
    <x v="2"/>
    <x v="14"/>
    <n v="23.364704540269219"/>
  </r>
  <r>
    <x v="3"/>
    <x v="0"/>
    <n v="50.312571298197582"/>
  </r>
  <r>
    <x v="3"/>
    <x v="1"/>
    <n v="50.925507643166782"/>
  </r>
  <r>
    <x v="3"/>
    <x v="2"/>
    <n v="52.42961441934748"/>
  </r>
  <r>
    <x v="3"/>
    <x v="3"/>
    <n v="54.183093771389458"/>
  </r>
  <r>
    <x v="3"/>
    <x v="4"/>
    <n v="56.141341546885691"/>
  </r>
  <r>
    <x v="3"/>
    <x v="5"/>
    <n v="58.090691307323745"/>
  </r>
  <r>
    <x v="3"/>
    <x v="6"/>
    <n v="60.084074834588186"/>
  </r>
  <r>
    <x v="3"/>
    <x v="7"/>
    <n v="62.253479352041978"/>
  </r>
  <r>
    <x v="3"/>
    <x v="8"/>
    <n v="64.476386036960989"/>
  </r>
  <r>
    <x v="3"/>
    <x v="9"/>
    <n v="66.846566278804474"/>
  </r>
  <r>
    <x v="3"/>
    <x v="10"/>
    <n v="69.293406342687661"/>
  </r>
  <r>
    <x v="3"/>
    <x v="11"/>
    <n v="71.818503308236373"/>
  </r>
  <r>
    <x v="3"/>
    <x v="12"/>
    <n v="74.431895961670094"/>
  </r>
  <r>
    <x v="3"/>
    <x v="13"/>
    <n v="77.11419119324664"/>
  </r>
  <r>
    <x v="3"/>
    <x v="14"/>
    <n v="79.8056125941136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n v="1.37E-2"/>
    <n v="0.36349999999999999"/>
    <n v="0.46920000000000001"/>
    <n v="0.15359999999999999"/>
  </r>
  <r>
    <x v="1"/>
    <n v="1.37E-2"/>
    <n v="0.36980000000000002"/>
    <n v="0.49059999999999998"/>
    <n v="0.12590000000000001"/>
  </r>
  <r>
    <x v="2"/>
    <n v="1.37E-2"/>
    <n v="0.32400000000000001"/>
    <n v="0.49259999999999998"/>
    <n v="0.16969999999999999"/>
  </r>
  <r>
    <x v="3"/>
    <n v="1.37E-2"/>
    <n v="0.33889999999999998"/>
    <n v="0.48799999999999999"/>
    <n v="0.15939999999999999"/>
  </r>
  <r>
    <x v="4"/>
    <n v="1.37E-2"/>
    <n v="0.31680000000000003"/>
    <n v="0.41949999999999998"/>
    <n v="0.25"/>
  </r>
  <r>
    <x v="5"/>
    <n v="1.37E-2"/>
    <n v="0.30509999999999998"/>
    <n v="0.51390000000000002"/>
    <n v="0.1673"/>
  </r>
  <r>
    <x v="6"/>
    <n v="1.37E-2"/>
    <n v="0.30249999999999999"/>
    <n v="0.51729999999999998"/>
    <n v="0.16650000000000001"/>
  </r>
  <r>
    <x v="7"/>
    <n v="1.37E-2"/>
    <n v="0.30659999999999998"/>
    <n v="0.52649999999999997"/>
    <n v="0.1532"/>
  </r>
  <r>
    <x v="8"/>
    <n v="1.37E-2"/>
    <n v="0.32179999999999997"/>
    <n v="0.49509999999999998"/>
    <n v="0.1694"/>
  </r>
  <r>
    <x v="9"/>
    <n v="1.37E-2"/>
    <n v="0.34410000000000002"/>
    <n v="0.4456"/>
    <n v="0.1966"/>
  </r>
  <r>
    <x v="10"/>
    <n v="1.37E-2"/>
    <n v="0.34889999999999999"/>
    <n v="0.45540000000000003"/>
    <n v="0.182"/>
  </r>
  <r>
    <x v="11"/>
    <n v="1.37E-2"/>
    <n v="0.32479999999999998"/>
    <n v="0.45050000000000001"/>
    <n v="0.21099999999999999"/>
  </r>
  <r>
    <x v="12"/>
    <n v="1.37E-2"/>
    <n v="0.3629"/>
    <n v="0.48149999999999998"/>
    <n v="0.1419"/>
  </r>
  <r>
    <x v="13"/>
    <n v="1.37E-2"/>
    <n v="0.35670000000000002"/>
    <n v="0.45860000000000001"/>
    <n v="0.17100000000000001"/>
  </r>
  <r>
    <x v="14"/>
    <n v="1.37E-2"/>
    <n v="0.33289999999999997"/>
    <n v="0.48759999999999998"/>
    <n v="0.1658"/>
  </r>
  <r>
    <x v="15"/>
    <n v="1.37E-2"/>
    <n v="0.34"/>
    <n v="0.50470000000000004"/>
    <n v="0.1416"/>
  </r>
  <r>
    <x v="16"/>
    <n v="1.37E-2"/>
    <n v="0.3266"/>
    <n v="0.48010000000000003"/>
    <n v="0.17960000000000001"/>
  </r>
  <r>
    <x v="17"/>
    <n v="1.37E-2"/>
    <n v="0.30590000000000001"/>
    <n v="0.51049999999999995"/>
    <n v="0.1699"/>
  </r>
  <r>
    <x v="18"/>
    <n v="1.37E-2"/>
    <n v="0.3009"/>
    <n v="0.50309999999999999"/>
    <n v="0.18229999999999999"/>
  </r>
  <r>
    <x v="19"/>
    <n v="1.37E-2"/>
    <n v="0.30499999999999999"/>
    <n v="0.5181"/>
    <n v="0.16320000000000001"/>
  </r>
  <r>
    <x v="20"/>
    <n v="1.37E-2"/>
    <n v="0.32079999999999997"/>
    <n v="0.47910000000000003"/>
    <n v="0.18640000000000001"/>
  </r>
  <r>
    <x v="21"/>
    <n v="1.37E-2"/>
    <n v="0.34329999999999999"/>
    <n v="0.44690000000000002"/>
    <n v="0.1961"/>
  </r>
  <r>
    <x v="22"/>
    <n v="1.37E-2"/>
    <n v="0.35089999999999999"/>
    <n v="0.4511"/>
    <n v="0.18429999999999999"/>
  </r>
  <r>
    <x v="23"/>
    <n v="1.37E-2"/>
    <n v="0.32790000000000002"/>
    <n v="0.44679999999999997"/>
    <n v="0.21160000000000001"/>
  </r>
  <r>
    <x v="24"/>
    <n v="1.37E-2"/>
    <n v="0.36749999999999999"/>
    <n v="0.48270000000000002"/>
    <n v="0.1361"/>
  </r>
  <r>
    <x v="25"/>
    <n v="1.37E-2"/>
    <n v="0.35410000000000003"/>
    <n v="0.44080000000000003"/>
    <n v="0.19139999999999999"/>
  </r>
  <r>
    <x v="26"/>
    <n v="1.37E-2"/>
    <n v="0.33579999999999999"/>
    <n v="0.48199999999999998"/>
    <n v="0.16850000000000001"/>
  </r>
  <r>
    <x v="27"/>
    <n v="1.37E-2"/>
    <n v="0.34079999999999999"/>
    <n v="0.50209999999999999"/>
    <n v="0.1434"/>
  </r>
  <r>
    <x v="28"/>
    <n v="1.37E-2"/>
    <n v="0.32769999999999999"/>
    <n v="0.49199999999999999"/>
    <n v="0.1666"/>
  </r>
  <r>
    <x v="29"/>
    <n v="1.37E-2"/>
    <n v="0.30630000000000002"/>
    <n v="0.50319999999999998"/>
    <n v="0.17680000000000001"/>
  </r>
  <r>
    <x v="30"/>
    <n v="1.37E-2"/>
    <n v="0.2984"/>
    <n v="0.49099999999999999"/>
    <n v="0.19689999999999999"/>
  </r>
  <r>
    <x v="31"/>
    <n v="1.37E-2"/>
    <n v="0.30480000000000002"/>
    <n v="0.50880000000000003"/>
    <n v="0.17269999999999999"/>
  </r>
  <r>
    <x v="32"/>
    <n v="1.37E-2"/>
    <n v="0.31950000000000001"/>
    <n v="0.4667"/>
    <n v="0.2001"/>
  </r>
  <r>
    <x v="33"/>
    <n v="1.37E-2"/>
    <n v="0.34389999999999998"/>
    <n v="0.44290000000000002"/>
    <n v="0.19950000000000001"/>
  </r>
  <r>
    <x v="34"/>
    <n v="1.37E-2"/>
    <n v="0.3528"/>
    <n v="0.44740000000000002"/>
    <n v="0.18609999999999999"/>
  </r>
  <r>
    <x v="35"/>
    <n v="1.37E-2"/>
    <n v="0.33100000000000002"/>
    <n v="0.44169999999999998"/>
    <n v="0.21360000000000001"/>
  </r>
  <r>
    <x v="36"/>
    <n v="1.37E-2"/>
    <n v="0.36899999999999999"/>
    <n v="0.4824"/>
    <n v="0.13489999999999999"/>
  </r>
  <r>
    <x v="37"/>
    <n v="1.37E-2"/>
    <n v="0.35410000000000003"/>
    <n v="0.436"/>
    <n v="0.19620000000000001"/>
  </r>
  <r>
    <x v="38"/>
    <n v="1.37E-2"/>
    <n v="0.3372"/>
    <n v="0.48060000000000003"/>
    <n v="0.16850000000000001"/>
  </r>
  <r>
    <x v="39"/>
    <n v="1.37E-2"/>
    <n v="0.3422"/>
    <n v="0.50339999999999996"/>
    <n v="0.14069999999999999"/>
  </r>
  <r>
    <x v="40"/>
    <n v="1.37E-2"/>
    <n v="0.32869999999999999"/>
    <n v="0.49840000000000001"/>
    <n v="0.15920000000000001"/>
  </r>
  <r>
    <x v="41"/>
    <n v="1.37E-2"/>
    <n v="0.30730000000000002"/>
    <n v="0.50270000000000004"/>
    <n v="0.17630000000000001"/>
  </r>
  <r>
    <x v="42"/>
    <n v="1.37E-2"/>
    <n v="0.29909999999999998"/>
    <n v="0.49109999999999998"/>
    <n v="0.1961"/>
  </r>
  <r>
    <x v="43"/>
    <n v="1.37E-2"/>
    <n v="0.30580000000000002"/>
    <n v="0.50780000000000003"/>
    <n v="0.17269999999999999"/>
  </r>
  <r>
    <x v="44"/>
    <n v="1.37E-2"/>
    <n v="0.31929999999999997"/>
    <n v="0.46200000000000002"/>
    <n v="0.20499999999999999"/>
  </r>
  <r>
    <x v="45"/>
    <n v="1.37E-2"/>
    <n v="0.34460000000000002"/>
    <n v="0.44140000000000001"/>
    <n v="0.20030000000000001"/>
  </r>
  <r>
    <x v="46"/>
    <n v="1.37E-2"/>
    <n v="0.3543"/>
    <n v="0.44679999999999997"/>
    <n v="0.1852"/>
  </r>
  <r>
    <x v="47"/>
    <n v="1.37E-2"/>
    <n v="0.33300000000000002"/>
    <n v="0.44069999999999998"/>
    <n v="0.21260000000000001"/>
  </r>
  <r>
    <x v="48"/>
    <n v="1.37E-2"/>
    <n v="0.37069999999999997"/>
    <n v="0.4824"/>
    <n v="0.13320000000000001"/>
  </r>
  <r>
    <x v="49"/>
    <n v="1.37E-2"/>
    <n v="0.35560000000000003"/>
    <n v="0.4546"/>
    <n v="0.17610000000000001"/>
  </r>
  <r>
    <x v="50"/>
    <n v="1.37E-2"/>
    <n v="0.34150000000000003"/>
    <n v="0.47260000000000002"/>
    <n v="0.17219999999999999"/>
  </r>
  <r>
    <x v="51"/>
    <n v="1.37E-2"/>
    <n v="0.34360000000000002"/>
    <n v="0.50590000000000002"/>
    <n v="0.1368"/>
  </r>
  <r>
    <x v="52"/>
    <n v="1.37E-2"/>
    <n v="0.33"/>
    <n v="0.50219999999999998"/>
    <n v="0.15409999999999999"/>
  </r>
  <r>
    <x v="53"/>
    <n v="1.37E-2"/>
    <n v="0.30840000000000001"/>
    <n v="0.50329999999999997"/>
    <n v="0.17460000000000001"/>
  </r>
  <r>
    <x v="54"/>
    <n v="1.37E-2"/>
    <n v="0.30009999999999998"/>
    <n v="0.49099999999999999"/>
    <n v="0.19520000000000001"/>
  </r>
  <r>
    <x v="55"/>
    <n v="1.37E-2"/>
    <n v="0.307"/>
    <n v="0.50860000000000005"/>
    <n v="0.17069999999999999"/>
  </r>
  <r>
    <x v="56"/>
    <n v="1.37E-2"/>
    <n v="0.3196"/>
    <n v="0.46010000000000001"/>
    <n v="0.20660000000000001"/>
  </r>
  <r>
    <x v="57"/>
    <n v="1.37E-2"/>
    <n v="0.34520000000000001"/>
    <n v="0.44090000000000001"/>
    <n v="0.20019999999999999"/>
  </r>
  <r>
    <x v="58"/>
    <n v="1.37E-2"/>
    <n v="0.35560000000000003"/>
    <n v="0.4466"/>
    <n v="0.18410000000000001"/>
  </r>
  <r>
    <x v="59"/>
    <n v="1.37E-2"/>
    <n v="0.33450000000000002"/>
    <n v="0.44009999999999999"/>
    <n v="0.2117"/>
  </r>
  <r>
    <x v="60"/>
    <n v="1.37E-2"/>
    <n v="0.37290000000000001"/>
    <n v="0.48139999999999999"/>
    <n v="0.13200000000000001"/>
  </r>
  <r>
    <x v="61"/>
    <n v="1.37E-2"/>
    <n v="0.35599999999999998"/>
    <n v="0.43169999999999997"/>
    <n v="0.1986"/>
  </r>
  <r>
    <x v="62"/>
    <n v="1.37E-2"/>
    <n v="0.3397"/>
    <n v="0.4803"/>
    <n v="0.1663"/>
  </r>
  <r>
    <x v="63"/>
    <n v="1.37E-2"/>
    <n v="0.34499999999999997"/>
    <n v="0.50770000000000004"/>
    <n v="0.1336"/>
  </r>
  <r>
    <x v="64"/>
    <n v="1.37E-2"/>
    <n v="0.33110000000000001"/>
    <n v="0.505"/>
    <n v="0.1502"/>
  </r>
  <r>
    <x v="65"/>
    <n v="1.37E-2"/>
    <n v="0.30969999999999998"/>
    <n v="0.50470000000000004"/>
    <n v="0.1719"/>
  </r>
  <r>
    <x v="66"/>
    <n v="1.37E-2"/>
    <n v="0.30120000000000002"/>
    <n v="0.4909"/>
    <n v="0.19420000000000001"/>
  </r>
  <r>
    <x v="67"/>
    <n v="1.37E-2"/>
    <n v="0.3085"/>
    <n v="0.50939999999999996"/>
    <n v="0.16839999999999999"/>
  </r>
  <r>
    <x v="68"/>
    <n v="1.37E-2"/>
    <n v="0.32029999999999997"/>
    <n v="0.45850000000000002"/>
    <n v="0.20749999999999999"/>
  </r>
  <r>
    <x v="69"/>
    <n v="1.37E-2"/>
    <n v="0.3463"/>
    <n v="0.44"/>
    <n v="0.2"/>
  </r>
  <r>
    <x v="70"/>
    <n v="1.37E-2"/>
    <n v="0.35770000000000002"/>
    <n v="0.44629999999999997"/>
    <n v="0.18229999999999999"/>
  </r>
  <r>
    <x v="71"/>
    <n v="1.37E-2"/>
    <n v="0.33629999999999999"/>
    <n v="0.43940000000000001"/>
    <n v="0.21060000000000001"/>
  </r>
  <r>
    <x v="72"/>
    <n v="1.37E-2"/>
    <n v="0.37359999999999999"/>
    <n v="0.48130000000000001"/>
    <n v="0.13139999999999999"/>
  </r>
  <r>
    <x v="73"/>
    <n v="1.37E-2"/>
    <n v="0.35599999999999998"/>
    <n v="0.42930000000000001"/>
    <n v="0.20100000000000001"/>
  </r>
  <r>
    <x v="74"/>
    <n v="1.37E-2"/>
    <n v="0.34060000000000001"/>
    <n v="0.48010000000000003"/>
    <n v="0.1656"/>
  </r>
  <r>
    <x v="75"/>
    <n v="1.37E-2"/>
    <n v="0.3463"/>
    <n v="0.50949999999999995"/>
    <n v="0.1305"/>
  </r>
  <r>
    <x v="76"/>
    <n v="1.37E-2"/>
    <n v="0.33210000000000001"/>
    <n v="0.5081"/>
    <n v="0.14610000000000001"/>
  </r>
  <r>
    <x v="77"/>
    <n v="1.37E-2"/>
    <n v="0.31130000000000002"/>
    <n v="0.50600000000000001"/>
    <n v="0.16900000000000001"/>
  </r>
  <r>
    <x v="78"/>
    <n v="1.37E-2"/>
    <n v="0.3024"/>
    <n v="0.49099999999999999"/>
    <n v="0.19289999999999999"/>
  </r>
  <r>
    <x v="79"/>
    <n v="1.37E-2"/>
    <n v="0.31"/>
    <n v="0.51"/>
    <n v="0.1663"/>
  </r>
  <r>
    <x v="80"/>
    <n v="1.37E-2"/>
    <n v="0.32079999999999997"/>
    <n v="0.45590000000000003"/>
    <n v="0.20960000000000001"/>
  </r>
  <r>
    <x v="81"/>
    <n v="1.37E-2"/>
    <n v="0.34710000000000002"/>
    <n v="0.439"/>
    <n v="0.20019999999999999"/>
  </r>
  <r>
    <x v="82"/>
    <n v="1.37E-2"/>
    <n v="0.35949999999999999"/>
    <n v="0.44600000000000001"/>
    <n v="0.18079999999999999"/>
  </r>
  <r>
    <x v="83"/>
    <n v="1.37E-2"/>
    <n v="0.33760000000000001"/>
    <n v="0.43869999999999998"/>
    <n v="0.21"/>
  </r>
  <r>
    <x v="84"/>
    <n v="1.37E-2"/>
    <n v="0.3745"/>
    <n v="0.48130000000000001"/>
    <n v="0.1305"/>
  </r>
  <r>
    <x v="85"/>
    <n v="1.37E-2"/>
    <n v="0.35709999999999997"/>
    <n v="0.42699999999999999"/>
    <n v="0.20219999999999999"/>
  </r>
  <r>
    <x v="86"/>
    <n v="1.37E-2"/>
    <n v="0.34179999999999999"/>
    <n v="0.48"/>
    <n v="0.16450000000000001"/>
  </r>
  <r>
    <x v="87"/>
    <n v="1.37E-2"/>
    <n v="0.3473"/>
    <n v="0.51129999999999998"/>
    <n v="0.12770000000000001"/>
  </r>
  <r>
    <x v="88"/>
    <n v="1.37E-2"/>
    <n v="0.3332"/>
    <n v="0.51029999999999998"/>
    <n v="0.14280000000000001"/>
  </r>
  <r>
    <x v="89"/>
    <n v="1.37E-2"/>
    <n v="0.31230000000000002"/>
    <n v="0.50839999999999996"/>
    <n v="0.1656"/>
  </r>
  <r>
    <x v="90"/>
    <n v="1.37E-2"/>
    <n v="0.30409999999999998"/>
    <n v="0.49440000000000001"/>
    <n v="0.18779999999999999"/>
  </r>
  <r>
    <x v="91"/>
    <n v="1.37E-2"/>
    <n v="0.31140000000000001"/>
    <n v="0.51290000000000002"/>
    <n v="0.16200000000000001"/>
  </r>
  <r>
    <x v="92"/>
    <n v="1.37E-2"/>
    <n v="0.3216"/>
    <n v="0.45600000000000002"/>
    <n v="0.2087"/>
  </r>
  <r>
    <x v="93"/>
    <n v="1.37E-2"/>
    <n v="0.34749999999999998"/>
    <n v="0.43880000000000002"/>
    <n v="0.2"/>
  </r>
  <r>
    <x v="94"/>
    <n v="1.37E-2"/>
    <n v="0.36030000000000001"/>
    <n v="0.4466"/>
    <n v="0.1794"/>
  </r>
  <r>
    <x v="95"/>
    <n v="1.37E-2"/>
    <n v="0.33900000000000002"/>
    <n v="0.43880000000000002"/>
    <n v="0.20849999999999999"/>
  </r>
  <r>
    <x v="96"/>
    <n v="1.37E-2"/>
    <n v="0.37480000000000002"/>
    <n v="0.48170000000000002"/>
    <n v="0.1298"/>
  </r>
  <r>
    <x v="97"/>
    <n v="1.37E-2"/>
    <n v="0.36249999999999999"/>
    <n v="0.45140000000000002"/>
    <n v="0.1724"/>
  </r>
  <r>
    <x v="98"/>
    <n v="1.37E-2"/>
    <n v="0.34589999999999999"/>
    <n v="0.47189999999999999"/>
    <n v="0.16850000000000001"/>
  </r>
  <r>
    <x v="99"/>
    <n v="1.37E-2"/>
    <n v="0.34839999999999999"/>
    <n v="0.51300000000000001"/>
    <n v="0.1249"/>
  </r>
  <r>
    <x v="100"/>
    <n v="1.37E-2"/>
    <n v="0.33389999999999997"/>
    <n v="0.51149999999999995"/>
    <n v="0.1409"/>
  </r>
  <r>
    <x v="101"/>
    <n v="1.37E-2"/>
    <n v="0.31380000000000002"/>
    <n v="0.51249999999999996"/>
    <n v="0.16"/>
  </r>
  <r>
    <x v="102"/>
    <n v="1.37E-2"/>
    <n v="0.30620000000000003"/>
    <n v="0.49990000000000001"/>
    <n v="0.1802"/>
  </r>
  <r>
    <x v="103"/>
    <n v="1.37E-2"/>
    <n v="0.31319999999999998"/>
    <n v="0.51849999999999996"/>
    <n v="0.15459999999999999"/>
  </r>
  <r>
    <x v="104"/>
    <n v="1.37E-2"/>
    <n v="0.32290000000000002"/>
    <n v="0.45710000000000001"/>
    <n v="0.20630000000000001"/>
  </r>
  <r>
    <x v="105"/>
    <n v="1.37E-2"/>
    <n v="0.34849999999999998"/>
    <n v="0.43959999999999999"/>
    <n v="0.19819999999999999"/>
  </r>
  <r>
    <x v="106"/>
    <n v="1.37E-2"/>
    <n v="0.36109999999999998"/>
    <n v="0.44769999999999999"/>
    <n v="0.17749999999999999"/>
  </r>
  <r>
    <x v="107"/>
    <n v="1.37E-2"/>
    <n v="0.33950000000000002"/>
    <n v="0.43919999999999998"/>
    <n v="0.20760000000000001"/>
  </r>
  <r>
    <x v="108"/>
    <n v="1.37E-2"/>
    <n v="0.3745"/>
    <n v="0.4829"/>
    <n v="0.12889999999999999"/>
  </r>
  <r>
    <x v="109"/>
    <n v="1.37E-2"/>
    <n v="0.36099999999999999"/>
    <n v="0.42849999999999999"/>
    <n v="0.1968"/>
  </r>
  <r>
    <x v="110"/>
    <n v="1.37E-2"/>
    <n v="0.34239999999999998"/>
    <n v="0.4819"/>
    <n v="0.16200000000000001"/>
  </r>
  <r>
    <x v="111"/>
    <n v="1.37E-2"/>
    <n v="0.3488"/>
    <n v="0.51470000000000005"/>
    <n v="0.12280000000000001"/>
  </r>
  <r>
    <x v="112"/>
    <n v="1.37E-2"/>
    <n v="0.3347"/>
    <n v="0.51280000000000003"/>
    <n v="0.13880000000000001"/>
  </r>
  <r>
    <x v="113"/>
    <n v="1.37E-2"/>
    <n v="0.31490000000000001"/>
    <n v="0.51639999999999997"/>
    <n v="0.155"/>
  </r>
  <r>
    <x v="114"/>
    <n v="1.37E-2"/>
    <n v="0.30840000000000001"/>
    <n v="0.50600000000000001"/>
    <n v="0.1719"/>
  </r>
  <r>
    <x v="115"/>
    <n v="1.37E-2"/>
    <n v="0.31480000000000002"/>
    <n v="0.52349999999999997"/>
    <n v="0.14799999999999999"/>
  </r>
  <r>
    <x v="116"/>
    <n v="1.37E-2"/>
    <n v="0.32479999999999998"/>
    <n v="0.45829999999999999"/>
    <n v="0.20319999999999999"/>
  </r>
  <r>
    <x v="117"/>
    <n v="1.37E-2"/>
    <n v="0.34949999999999998"/>
    <n v="0.44030000000000002"/>
    <n v="0.19650000000000001"/>
  </r>
  <r>
    <x v="118"/>
    <n v="1.37E-2"/>
    <n v="0.36199999999999999"/>
    <n v="0.44869999999999999"/>
    <n v="0.17560000000000001"/>
  </r>
  <r>
    <x v="119"/>
    <n v="1.37E-2"/>
    <n v="0.3402"/>
    <n v="0.44009999999999999"/>
    <n v="0.20599999999999999"/>
  </r>
  <r>
    <x v="120"/>
    <n v="1.37E-2"/>
    <n v="0.37459999999999999"/>
    <n v="0.4834"/>
    <n v="0.1283"/>
  </r>
  <r>
    <x v="121"/>
    <n v="1.37E-2"/>
    <n v="0.36280000000000001"/>
    <n v="0.42930000000000001"/>
    <n v="0.19420000000000001"/>
  </r>
  <r>
    <x v="122"/>
    <n v="1.37E-2"/>
    <n v="0.34250000000000003"/>
    <n v="0.48309999999999997"/>
    <n v="0.16070000000000001"/>
  </r>
  <r>
    <x v="123"/>
    <n v="1.37E-2"/>
    <n v="0.34960000000000002"/>
    <n v="0.51629999999999998"/>
    <n v="0.12039999999999999"/>
  </r>
  <r>
    <x v="124"/>
    <n v="1.37E-2"/>
    <n v="0.33550000000000002"/>
    <n v="0.51370000000000005"/>
    <n v="0.1371"/>
  </r>
  <r>
    <x v="125"/>
    <n v="1.37E-2"/>
    <n v="0.31580000000000003"/>
    <n v="0.52"/>
    <n v="0.15049999999999999"/>
  </r>
  <r>
    <x v="126"/>
    <n v="1.37E-2"/>
    <n v="0.3105"/>
    <n v="0.51480000000000004"/>
    <n v="0.161"/>
  </r>
  <r>
    <x v="127"/>
    <n v="1.37E-2"/>
    <n v="0.31659999999999999"/>
    <n v="0.52839999999999998"/>
    <n v="0.14130000000000001"/>
  </r>
  <r>
    <x v="128"/>
    <n v="1.37E-2"/>
    <n v="0.32650000000000001"/>
    <n v="0.45960000000000001"/>
    <n v="0.20019999999999999"/>
  </r>
  <r>
    <x v="129"/>
    <n v="1.37E-2"/>
    <n v="0.3503"/>
    <n v="0.44159999999999999"/>
    <n v="0.19439999999999999"/>
  </r>
  <r>
    <x v="130"/>
    <n v="1.37E-2"/>
    <n v="0.36270000000000002"/>
    <n v="0.44979999999999998"/>
    <n v="0.17380000000000001"/>
  </r>
  <r>
    <x v="131"/>
    <n v="1.37E-2"/>
    <n v="0.3412"/>
    <n v="0.44059999999999999"/>
    <n v="0.20449999999999999"/>
  </r>
  <r>
    <x v="132"/>
    <n v="1.37E-2"/>
    <n v="0.37459999999999999"/>
    <n v="0.4839"/>
    <n v="0.1278"/>
  </r>
  <r>
    <x v="133"/>
    <n v="1.37E-2"/>
    <n v="0.3644"/>
    <n v="0.43090000000000001"/>
    <n v="0.191"/>
  </r>
  <r>
    <x v="134"/>
    <n v="1.37E-2"/>
    <n v="0.34289999999999998"/>
    <n v="0.48409999999999997"/>
    <n v="0.1593"/>
  </r>
  <r>
    <x v="135"/>
    <n v="1.37E-2"/>
    <n v="0.35060000000000002"/>
    <n v="0.51729999999999998"/>
    <n v="0.11840000000000001"/>
  </r>
  <r>
    <x v="136"/>
    <n v="1.37E-2"/>
    <n v="0.33600000000000002"/>
    <n v="0.51490000000000002"/>
    <n v="0.13539999999999999"/>
  </r>
  <r>
    <x v="137"/>
    <n v="1.37E-2"/>
    <n v="0.31659999999999999"/>
    <n v="0.52310000000000001"/>
    <n v="0.14660000000000001"/>
  </r>
  <r>
    <x v="138"/>
    <n v="1.37E-2"/>
    <n v="0.3125"/>
    <n v="0.52159999999999995"/>
    <n v="0.1522"/>
  </r>
  <r>
    <x v="139"/>
    <n v="1.37E-2"/>
    <n v="0.318"/>
    <n v="0.53269999999999995"/>
    <n v="0.1356"/>
  </r>
  <r>
    <x v="140"/>
    <n v="1.37E-2"/>
    <n v="0.32779999999999998"/>
    <n v="0.46160000000000001"/>
    <n v="0.19689999999999999"/>
  </r>
  <r>
    <x v="141"/>
    <n v="1.37E-2"/>
    <n v="0.35110000000000002"/>
    <n v="0.4425"/>
    <n v="0.19270000000000001"/>
  </r>
  <r>
    <x v="142"/>
    <n v="1.37E-2"/>
    <n v="0.36299999999999999"/>
    <n v="0.45090000000000002"/>
    <n v="0.1724"/>
  </r>
  <r>
    <x v="143"/>
    <n v="1.37E-2"/>
    <n v="0.3417"/>
    <n v="0.44109999999999999"/>
    <n v="0.20349999999999999"/>
  </r>
  <r>
    <x v="144"/>
    <n v="1.37E-2"/>
    <n v="0.37440000000000001"/>
    <n v="0.48430000000000001"/>
    <n v="0.12759999999999999"/>
  </r>
  <r>
    <x v="145"/>
    <n v="1.37E-2"/>
    <n v="0.37009999999999998"/>
    <n v="0.46179999999999999"/>
    <n v="0.15440000000000001"/>
  </r>
  <r>
    <x v="146"/>
    <n v="1.37E-2"/>
    <n v="0.34599999999999997"/>
    <n v="0.4773"/>
    <n v="0.16300000000000001"/>
  </r>
  <r>
    <x v="147"/>
    <n v="1.37E-2"/>
    <n v="0.35149999999999998"/>
    <n v="0.51829999999999998"/>
    <n v="0.11650000000000001"/>
  </r>
  <r>
    <x v="148"/>
    <n v="1.37E-2"/>
    <n v="0.3367"/>
    <n v="0.51549999999999996"/>
    <n v="0.1341"/>
  </r>
  <r>
    <x v="149"/>
    <n v="1.37E-2"/>
    <n v="0.1837"/>
    <n v="0.46560000000000001"/>
    <n v="0.33700000000000002"/>
  </r>
  <r>
    <x v="150"/>
    <n v="1.37E-2"/>
    <n v="0.31459999999999999"/>
    <n v="0.5292"/>
    <n v="0.14249999999999999"/>
  </r>
  <r>
    <x v="151"/>
    <n v="1.37E-2"/>
    <n v="0.31929999999999997"/>
    <n v="0.5363"/>
    <n v="0.13070000000000001"/>
  </r>
  <r>
    <x v="152"/>
    <n v="1.37E-2"/>
    <n v="0.3291"/>
    <n v="0.46379999999999999"/>
    <n v="0.19339999999999999"/>
  </r>
  <r>
    <x v="153"/>
    <n v="1.37E-2"/>
    <n v="0.35199999999999998"/>
    <n v="0.44409999999999999"/>
    <n v="0.19020000000000001"/>
  </r>
  <r>
    <x v="154"/>
    <n v="1.37E-2"/>
    <n v="0.36330000000000001"/>
    <n v="0.45200000000000001"/>
    <n v="0.17100000000000001"/>
  </r>
  <r>
    <x v="155"/>
    <n v="1.37E-2"/>
    <n v="0.34210000000000002"/>
    <n v="0.44180000000000003"/>
    <n v="0.2024"/>
  </r>
  <r>
    <x v="156"/>
    <n v="1.37E-2"/>
    <n v="0.37469999999999998"/>
    <n v="0.48470000000000002"/>
    <n v="0.12690000000000001"/>
  </r>
  <r>
    <x v="157"/>
    <n v="1.37E-2"/>
    <n v="0.3674"/>
    <n v="0.43559999999999999"/>
    <n v="0.18329999999999999"/>
  </r>
  <r>
    <x v="158"/>
    <n v="1.37E-2"/>
    <n v="0.34360000000000002"/>
    <n v="0.48609999999999998"/>
    <n v="0.15659999999999999"/>
  </r>
  <r>
    <x v="159"/>
    <n v="1.37E-2"/>
    <n v="0.35210000000000002"/>
    <n v="0.51919999999999999"/>
    <n v="0.115"/>
  </r>
  <r>
    <x v="160"/>
    <n v="1.37E-2"/>
    <n v="0.3372"/>
    <n v="0.51670000000000005"/>
    <n v="0.13239999999999999"/>
  </r>
  <r>
    <x v="161"/>
    <n v="1.37E-2"/>
    <n v="0.318"/>
    <n v="0.52890000000000004"/>
    <n v="0.1394"/>
  </r>
  <r>
    <x v="162"/>
    <n v="1.37E-2"/>
    <n v="0.316"/>
    <n v="0.53549999999999998"/>
    <n v="0.1348"/>
  </r>
  <r>
    <x v="163"/>
    <n v="1.37E-2"/>
    <n v="0.32079999999999997"/>
    <n v="0.54039999999999999"/>
    <n v="0.12509999999999999"/>
  </r>
  <r>
    <x v="164"/>
    <n v="1.37E-2"/>
    <n v="0.33119999999999999"/>
    <n v="0.4662"/>
    <n v="0.18890000000000001"/>
  </r>
  <r>
    <x v="165"/>
    <n v="1.37E-2"/>
    <n v="0.35299999999999998"/>
    <n v="0.44519999999999998"/>
    <n v="0.18809999999999999"/>
  </r>
  <r>
    <x v="166"/>
    <n v="1.37E-2"/>
    <n v="0.36409999999999998"/>
    <n v="0.45240000000000002"/>
    <n v="0.16980000000000001"/>
  </r>
  <r>
    <x v="167"/>
    <n v="1.37E-2"/>
    <n v="0.3427"/>
    <n v="0.44240000000000002"/>
    <n v="0.20119999999999999"/>
  </r>
  <r>
    <x v="168"/>
    <n v="1.37E-2"/>
    <n v="0.375"/>
    <n v="0.48480000000000001"/>
    <n v="0.1265"/>
  </r>
  <r>
    <x v="169"/>
    <n v="1.37E-2"/>
    <n v="0.36919999999999997"/>
    <n v="0.43680000000000002"/>
    <n v="0.18029999999999999"/>
  </r>
  <r>
    <x v="170"/>
    <n v="1.37E-2"/>
    <n v="0.34399999999999997"/>
    <n v="0.48699999999999999"/>
    <n v="0.15529999999999999"/>
  </r>
  <r>
    <x v="171"/>
    <n v="1.37E-2"/>
    <n v="0.35270000000000001"/>
    <n v="0.5202"/>
    <n v="0.1134"/>
  </r>
  <r>
    <x v="172"/>
    <n v="1.37E-2"/>
    <n v="0.3377"/>
    <n v="0.51739999999999997"/>
    <n v="0.13120000000000001"/>
  </r>
  <r>
    <x v="173"/>
    <n v="1.37E-2"/>
    <n v="0.31850000000000001"/>
    <n v="0.53069999999999995"/>
    <n v="0.1371"/>
  </r>
  <r>
    <x v="174"/>
    <n v="1.37E-2"/>
    <n v="0.31740000000000002"/>
    <n v="0.54059999999999997"/>
    <n v="0.1283"/>
  </r>
  <r>
    <x v="175"/>
    <n v="1.37E-2"/>
    <n v="0.32150000000000001"/>
    <n v="0.54249999999999998"/>
    <n v="0.12230000000000001"/>
  </r>
  <r>
    <x v="176"/>
    <n v="1.37E-2"/>
    <n v="0.33300000000000002"/>
    <n v="0.46870000000000001"/>
    <n v="0.18459999999999999"/>
  </r>
  <r>
    <x v="177"/>
    <n v="1.37E-2"/>
    <n v="0.35370000000000001"/>
    <n v="0.44640000000000002"/>
    <n v="0.1862"/>
  </r>
  <r>
    <x v="178"/>
    <n v="1.37E-2"/>
    <n v="0.36480000000000001"/>
    <n v="0.45340000000000003"/>
    <n v="0.1681"/>
  </r>
  <r>
    <x v="179"/>
    <n v="1.37E-2"/>
    <n v="0.34350000000000003"/>
    <n v="0.44269999999999998"/>
    <n v="0.20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x v="0"/>
    <x v="0"/>
    <n v="0.97465714285714278"/>
    <n v="0.79238571428571425"/>
  </r>
  <r>
    <x v="1"/>
    <x v="1"/>
    <x v="1"/>
    <n v="0.96370000000000011"/>
    <n v="0.81738571428571427"/>
  </r>
  <r>
    <x v="2"/>
    <x v="2"/>
    <x v="2"/>
    <n v="0.97319999999999995"/>
    <n v="0.81455714285714287"/>
  </r>
  <r>
    <x v="3"/>
    <x v="3"/>
    <x v="3"/>
    <n v="0.95610000000000006"/>
    <n v="0.80061428571428572"/>
  </r>
  <r>
    <x v="4"/>
    <x v="4"/>
    <x v="4"/>
    <n v="0.96950000000000003"/>
    <n v="0.81702857142857133"/>
  </r>
  <r>
    <x v="5"/>
    <x v="5"/>
    <x v="5"/>
    <n v="0.9598000000000001"/>
    <n v="0.82702857142857145"/>
  </r>
  <r>
    <x v="6"/>
    <x v="6"/>
    <x v="6"/>
    <n v="0.96004285714285698"/>
    <n v="0.83178571428571424"/>
  </r>
  <r>
    <x v="7"/>
    <x v="7"/>
    <x v="7"/>
    <n v="0.95834285714285716"/>
    <n v="0.81592857142857145"/>
  </r>
  <r>
    <x v="8"/>
    <x v="8"/>
    <x v="8"/>
    <n v="0.96742857142857142"/>
    <n v="0.83239999999999992"/>
  </r>
  <r>
    <x v="9"/>
    <x v="9"/>
    <x v="9"/>
    <n v="0.96322857142857132"/>
    <n v="0.8509714285714286"/>
  </r>
  <r>
    <x v="10"/>
    <x v="10"/>
    <x v="10"/>
    <n v="0.96640000000000004"/>
    <n v="0.82431428571428567"/>
  </r>
  <r>
    <x v="11"/>
    <x v="11"/>
    <x v="11"/>
    <n v="0.97565714285714289"/>
    <n v="0.8296285714285716"/>
  </r>
  <r>
    <x v="12"/>
    <x v="12"/>
    <x v="12"/>
    <n v="0.97315714285714294"/>
    <n v="0.78572857142857144"/>
  </r>
  <r>
    <x v="13"/>
    <x v="13"/>
    <x v="13"/>
    <n v="0.9717285714285715"/>
    <n v="0.84484285714285712"/>
  </r>
  <r>
    <x v="14"/>
    <x v="14"/>
    <x v="14"/>
    <n v="0.96729999999999994"/>
    <n v="0.80432857142857139"/>
  </r>
  <r>
    <x v="15"/>
    <x v="15"/>
    <x v="15"/>
    <n v="0.95128571428571429"/>
    <n v="0.79105714285714279"/>
  </r>
  <r>
    <x v="16"/>
    <x v="16"/>
    <x v="16"/>
    <n v="0.95069999999999999"/>
    <n v="0.79844285714285712"/>
  </r>
  <r>
    <x v="17"/>
    <x v="17"/>
    <x v="17"/>
    <n v="0.95761428571428575"/>
    <n v="0.82818571428571419"/>
  </r>
  <r>
    <x v="18"/>
    <x v="18"/>
    <x v="18"/>
    <n v="0.95890000000000009"/>
    <n v="0.83952857142857151"/>
  </r>
  <r>
    <x v="19"/>
    <x v="19"/>
    <x v="19"/>
    <n v="0.95705714285714283"/>
    <n v="0.8198714285714287"/>
  </r>
  <r>
    <x v="20"/>
    <x v="20"/>
    <x v="20"/>
    <n v="0.96817142857142868"/>
    <n v="0.83641428571428567"/>
  </r>
  <r>
    <x v="21"/>
    <x v="21"/>
    <x v="21"/>
    <n v="0.9615999999999999"/>
    <n v="0.84964285714285714"/>
  </r>
  <r>
    <x v="22"/>
    <x v="22"/>
    <x v="22"/>
    <n v="0.96551428571428566"/>
    <n v="0.82274285714285711"/>
  </r>
  <r>
    <x v="23"/>
    <x v="23"/>
    <x v="23"/>
    <n v="0.9749000000000001"/>
    <n v="0.82734285714285716"/>
  </r>
  <r>
    <x v="24"/>
    <x v="24"/>
    <x v="24"/>
    <n v="0.97141428571428567"/>
    <n v="0.78127142857142851"/>
  </r>
  <r>
    <x v="25"/>
    <x v="25"/>
    <x v="25"/>
    <n v="0.97344285714285694"/>
    <n v="0.85157142857142865"/>
  </r>
  <r>
    <x v="26"/>
    <x v="26"/>
    <x v="26"/>
    <n v="0.9665285714285714"/>
    <n v="0.80484285714285719"/>
  </r>
  <r>
    <x v="27"/>
    <x v="27"/>
    <x v="27"/>
    <n v="0.95032857142857152"/>
    <n v="0.79144285714285723"/>
  </r>
  <r>
    <x v="28"/>
    <x v="28"/>
    <x v="28"/>
    <n v="0.94707142857142845"/>
    <n v="0.79404285714285716"/>
  </r>
  <r>
    <x v="29"/>
    <x v="29"/>
    <x v="29"/>
    <n v="0.9571428571428573"/>
    <n v="0.83002857142857145"/>
  </r>
  <r>
    <x v="30"/>
    <x v="30"/>
    <x v="30"/>
    <n v="0.95949999999999991"/>
    <n v="0.84525714285714282"/>
  </r>
  <r>
    <x v="31"/>
    <x v="31"/>
    <x v="31"/>
    <n v="0.95701428571428582"/>
    <n v="0.82402857142857144"/>
  </r>
  <r>
    <x v="32"/>
    <x v="32"/>
    <x v="32"/>
    <n v="0.96925714285714282"/>
    <n v="0.8409428571428571"/>
  </r>
  <r>
    <x v="33"/>
    <x v="33"/>
    <x v="33"/>
    <n v="0.96081428571428573"/>
    <n v="0.85031428571428569"/>
  </r>
  <r>
    <x v="34"/>
    <x v="34"/>
    <x v="34"/>
    <n v="0.96454285714285715"/>
    <n v="0.82157142857142851"/>
  </r>
  <r>
    <x v="35"/>
    <x v="35"/>
    <x v="35"/>
    <n v="0.97408571428571433"/>
    <n v="0.82550000000000001"/>
  </r>
  <r>
    <x v="36"/>
    <x v="36"/>
    <x v="36"/>
    <n v="0.97044285714285716"/>
    <n v="0.77714285714285702"/>
  </r>
  <r>
    <x v="37"/>
    <x v="37"/>
    <x v="37"/>
    <n v="0.97350000000000014"/>
    <n v="0.84854285714285727"/>
  </r>
  <r>
    <x v="38"/>
    <x v="38"/>
    <x v="38"/>
    <n v="0.96568571428571437"/>
    <n v="0.80067142857142859"/>
  </r>
  <r>
    <x v="39"/>
    <x v="39"/>
    <x v="39"/>
    <n v="0.94872857142857137"/>
    <n v="0.78591428571428545"/>
  </r>
  <r>
    <x v="40"/>
    <x v="40"/>
    <x v="40"/>
    <n v="0.94485714285714273"/>
    <n v="0.78848571428571435"/>
  </r>
  <r>
    <x v="41"/>
    <x v="41"/>
    <x v="41"/>
    <n v="0.95638571428571428"/>
    <n v="0.82682857142857136"/>
  </r>
  <r>
    <x v="42"/>
    <x v="42"/>
    <x v="42"/>
    <n v="0.95899999999999985"/>
    <n v="0.84321428571428569"/>
  </r>
  <r>
    <x v="43"/>
    <x v="43"/>
    <x v="43"/>
    <n v="0.95637142857142865"/>
    <n v="0.82181428571428583"/>
  </r>
  <r>
    <x v="44"/>
    <x v="44"/>
    <x v="44"/>
    <n v="0.96950000000000003"/>
    <n v="0.84095714285714285"/>
  </r>
  <r>
    <x v="45"/>
    <x v="45"/>
    <x v="45"/>
    <n v="0.96008571428571432"/>
    <n v="0.84902857142857158"/>
  </r>
  <r>
    <x v="46"/>
    <x v="46"/>
    <x v="46"/>
    <n v="0.96312857142857133"/>
    <n v="0.81821428571428567"/>
  </r>
  <r>
    <x v="47"/>
    <x v="47"/>
    <x v="47"/>
    <n v="0.97302857142857135"/>
    <n v="0.82168571428571435"/>
  </r>
  <r>
    <x v="48"/>
    <x v="48"/>
    <x v="48"/>
    <n v="0.96912857142857134"/>
    <n v="0.77299999999999991"/>
  </r>
  <r>
    <x v="49"/>
    <x v="49"/>
    <x v="49"/>
    <n v="0.96729999999999994"/>
    <n v="0.8348714285714286"/>
  </r>
  <r>
    <x v="50"/>
    <x v="50"/>
    <x v="50"/>
    <n v="0.9676285714285715"/>
    <n v="0.80305714285714291"/>
  </r>
  <r>
    <x v="51"/>
    <x v="51"/>
    <x v="51"/>
    <n v="0.94720000000000015"/>
    <n v="0.77969999999999995"/>
  </r>
  <r>
    <x v="52"/>
    <x v="52"/>
    <x v="52"/>
    <n v="0.94321428571428567"/>
    <n v="0.78381428571428569"/>
  </r>
  <r>
    <x v="53"/>
    <x v="53"/>
    <x v="53"/>
    <n v="0.95562857142857138"/>
    <n v="0.82394285714285709"/>
  </r>
  <r>
    <x v="54"/>
    <x v="54"/>
    <x v="54"/>
    <n v="0.95855714285714277"/>
    <n v="0.84117142857142857"/>
  </r>
  <r>
    <x v="55"/>
    <x v="55"/>
    <x v="55"/>
    <n v="0.95577142857142849"/>
    <n v="0.81904285714285729"/>
  </r>
  <r>
    <x v="56"/>
    <x v="56"/>
    <x v="56"/>
    <n v="0.96950000000000003"/>
    <n v="0.84037142857142855"/>
  </r>
  <r>
    <x v="57"/>
    <x v="57"/>
    <x v="57"/>
    <n v="0.95939999999999992"/>
    <n v="0.84804285714285732"/>
  </r>
  <r>
    <x v="58"/>
    <x v="58"/>
    <x v="58"/>
    <n v="0.96191428571428583"/>
    <n v="0.81577142857142848"/>
  </r>
  <r>
    <x v="59"/>
    <x v="59"/>
    <x v="59"/>
    <n v="0.97205714285714273"/>
    <n v="0.81850000000000012"/>
  </r>
  <r>
    <x v="60"/>
    <x v="60"/>
    <x v="60"/>
    <n v="0.96761428571428587"/>
    <n v="0.76814285714285713"/>
  </r>
  <r>
    <x v="61"/>
    <x v="61"/>
    <x v="61"/>
    <n v="0.97320000000000007"/>
    <n v="0.84065714285714288"/>
  </r>
  <r>
    <x v="62"/>
    <x v="62"/>
    <x v="62"/>
    <n v="0.96419999999999995"/>
    <n v="0.79182857142857144"/>
  </r>
  <r>
    <x v="63"/>
    <x v="63"/>
    <x v="63"/>
    <n v="0.94578571428571423"/>
    <n v="0.77397142857142853"/>
  </r>
  <r>
    <x v="64"/>
    <x v="64"/>
    <x v="64"/>
    <n v="0.94162857142857148"/>
    <n v="0.77944285714285699"/>
  </r>
  <r>
    <x v="65"/>
    <x v="65"/>
    <x v="65"/>
    <n v="0.9546"/>
    <n v="0.81954285714285713"/>
  </r>
  <r>
    <x v="66"/>
    <x v="66"/>
    <x v="66"/>
    <n v="0.95795714285714273"/>
    <n v="0.83881428571428585"/>
  </r>
  <r>
    <x v="67"/>
    <x v="67"/>
    <x v="67"/>
    <n v="0.95504285714285708"/>
    <n v="0.81592857142857134"/>
  </r>
  <r>
    <x v="68"/>
    <x v="68"/>
    <x v="68"/>
    <n v="0.96925714285714293"/>
    <n v="0.83917142857142857"/>
  </r>
  <r>
    <x v="69"/>
    <x v="69"/>
    <x v="69"/>
    <n v="0.95849999999999991"/>
    <n v="0.8459000000000001"/>
  </r>
  <r>
    <x v="70"/>
    <x v="70"/>
    <x v="70"/>
    <n v="0.96010000000000006"/>
    <n v="0.81102857142857143"/>
  </r>
  <r>
    <x v="71"/>
    <x v="71"/>
    <x v="71"/>
    <n v="0.97098571428571423"/>
    <n v="0.81424285714285716"/>
  </r>
  <r>
    <x v="72"/>
    <x v="72"/>
    <x v="72"/>
    <n v="0.9668714285714286"/>
    <n v="0.76534285714285721"/>
  </r>
  <r>
    <x v="73"/>
    <x v="73"/>
    <x v="73"/>
    <n v="0.97340000000000004"/>
    <n v="0.83827142857142856"/>
  </r>
  <r>
    <x v="74"/>
    <x v="74"/>
    <x v="74"/>
    <n v="0.96365714285714277"/>
    <n v="0.78860000000000008"/>
  </r>
  <r>
    <x v="75"/>
    <x v="75"/>
    <x v="75"/>
    <n v="0.94458571428571436"/>
    <n v="0.76857142857142857"/>
  </r>
  <r>
    <x v="76"/>
    <x v="76"/>
    <x v="76"/>
    <n v="0.94020000000000004"/>
    <n v="0.77549999999999997"/>
  </r>
  <r>
    <x v="77"/>
    <x v="77"/>
    <x v="77"/>
    <n v="0.95344285714285726"/>
    <n v="0.81552857142857138"/>
  </r>
  <r>
    <x v="78"/>
    <x v="78"/>
    <x v="78"/>
    <n v="0.95731428571428567"/>
    <n v="0.83661428571428575"/>
  </r>
  <r>
    <x v="79"/>
    <x v="79"/>
    <x v="79"/>
    <n v="0.95428571428571429"/>
    <n v="0.81328571428571428"/>
  </r>
  <r>
    <x v="80"/>
    <x v="80"/>
    <x v="80"/>
    <n v="0.96919999999999995"/>
    <n v="0.83892857142857147"/>
  </r>
  <r>
    <x v="81"/>
    <x v="81"/>
    <x v="81"/>
    <n v="0.95781428571428573"/>
    <n v="0.84472857142857161"/>
  </r>
  <r>
    <x v="82"/>
    <x v="82"/>
    <x v="82"/>
    <n v="0.95874285714285712"/>
    <n v="0.80795714285714282"/>
  </r>
  <r>
    <x v="83"/>
    <x v="83"/>
    <x v="83"/>
    <n v="0.9703142857142858"/>
    <n v="0.81135714285714289"/>
  </r>
  <r>
    <x v="84"/>
    <x v="84"/>
    <x v="84"/>
    <n v="0.96601428571428571"/>
    <n v="0.76194285714285714"/>
  </r>
  <r>
    <x v="85"/>
    <x v="85"/>
    <x v="85"/>
    <n v="0.97337142857142855"/>
    <n v="0.8352857142857143"/>
  </r>
  <r>
    <x v="86"/>
    <x v="86"/>
    <x v="86"/>
    <n v="0.96307142857142847"/>
    <n v="0.78508571428571439"/>
  </r>
  <r>
    <x v="87"/>
    <x v="87"/>
    <x v="87"/>
    <n v="0.94345714285714277"/>
    <n v="0.7639285714285714"/>
  </r>
  <r>
    <x v="88"/>
    <x v="88"/>
    <x v="88"/>
    <n v="0.9389142857142857"/>
    <n v="0.77179999999999993"/>
  </r>
  <r>
    <x v="89"/>
    <x v="89"/>
    <x v="89"/>
    <n v="0.95231428571428567"/>
    <n v="0.81105714285714281"/>
  </r>
  <r>
    <x v="90"/>
    <x v="90"/>
    <x v="90"/>
    <n v="0.95622857142857143"/>
    <n v="0.83295714285714306"/>
  </r>
  <r>
    <x v="91"/>
    <x v="91"/>
    <x v="91"/>
    <n v="0.95345714285714289"/>
    <n v="0.80965714285714274"/>
  </r>
  <r>
    <x v="92"/>
    <x v="92"/>
    <x v="92"/>
    <n v="0.96880000000000011"/>
    <n v="0.83814285714285719"/>
  </r>
  <r>
    <x v="93"/>
    <x v="93"/>
    <x v="93"/>
    <n v="0.95737142857142854"/>
    <n v="0.84370000000000012"/>
  </r>
  <r>
    <x v="94"/>
    <x v="94"/>
    <x v="94"/>
    <n v="0.95778571428571435"/>
    <n v="0.80535714285714288"/>
  </r>
  <r>
    <x v="95"/>
    <x v="95"/>
    <x v="95"/>
    <n v="0.96958571428571438"/>
    <n v="0.80871428571428583"/>
  </r>
  <r>
    <x v="96"/>
    <x v="48"/>
    <x v="96"/>
    <n v="0.96531428571428557"/>
    <n v="0.7591714285714285"/>
  </r>
  <r>
    <x v="97"/>
    <x v="96"/>
    <x v="97"/>
    <n v="0.96465714285714288"/>
    <n v="0.82011428571428557"/>
  </r>
  <r>
    <x v="98"/>
    <x v="97"/>
    <x v="98"/>
    <n v="0.9656285714285715"/>
    <n v="0.78889999999999993"/>
  </r>
  <r>
    <x v="99"/>
    <x v="98"/>
    <x v="99"/>
    <n v="0.9425"/>
    <n v="0.75945714285714294"/>
  </r>
  <r>
    <x v="100"/>
    <x v="99"/>
    <x v="100"/>
    <n v="0.9381571428571428"/>
    <n v="0.76921428571428574"/>
  </r>
  <r>
    <x v="101"/>
    <x v="100"/>
    <x v="101"/>
    <n v="0.95087142857142837"/>
    <n v="0.80582857142857145"/>
  </r>
  <r>
    <x v="102"/>
    <x v="101"/>
    <x v="102"/>
    <n v="0.95491428571428572"/>
    <n v="0.8285285714285715"/>
  </r>
  <r>
    <x v="103"/>
    <x v="102"/>
    <x v="103"/>
    <n v="0.9523571428571429"/>
    <n v="0.80451428571428585"/>
  </r>
  <r>
    <x v="104"/>
    <x v="103"/>
    <x v="104"/>
    <n v="0.96817142857142857"/>
    <n v="0.83732857142857142"/>
  </r>
  <r>
    <x v="105"/>
    <x v="104"/>
    <x v="105"/>
    <n v="0.95668571428571436"/>
    <n v="0.84248571428571428"/>
  </r>
  <r>
    <x v="106"/>
    <x v="105"/>
    <x v="106"/>
    <n v="0.9569428571428571"/>
    <n v="0.8031571428571429"/>
  </r>
  <r>
    <x v="107"/>
    <x v="106"/>
    <x v="107"/>
    <n v="0.96919999999999995"/>
    <n v="0.80645714285714298"/>
  </r>
  <r>
    <x v="108"/>
    <x v="107"/>
    <x v="108"/>
    <n v="0.96522857142857155"/>
    <n v="0.75872857142857142"/>
  </r>
  <r>
    <x v="109"/>
    <x v="108"/>
    <x v="109"/>
    <n v="0.97221428571428581"/>
    <n v="0.83000000000000007"/>
  </r>
  <r>
    <x v="110"/>
    <x v="109"/>
    <x v="110"/>
    <n v="0.96262857142857139"/>
    <n v="0.78077142857142867"/>
  </r>
  <r>
    <x v="111"/>
    <x v="110"/>
    <x v="111"/>
    <n v="0.9421571428571428"/>
    <n v="0.75682857142857141"/>
  </r>
  <r>
    <x v="112"/>
    <x v="111"/>
    <x v="112"/>
    <n v="0.93759999999999988"/>
    <n v="0.76714285714285713"/>
  </r>
  <r>
    <x v="113"/>
    <x v="112"/>
    <x v="113"/>
    <n v="0.94968571428571436"/>
    <n v="0.80097142857142856"/>
  </r>
  <r>
    <x v="114"/>
    <x v="113"/>
    <x v="114"/>
    <n v="0.95348571428571438"/>
    <n v="0.82340000000000002"/>
  </r>
  <r>
    <x v="115"/>
    <x v="114"/>
    <x v="115"/>
    <n v="0.95137142857142865"/>
    <n v="0.79972857142857134"/>
  </r>
  <r>
    <x v="116"/>
    <x v="115"/>
    <x v="116"/>
    <n v="0.96732857142857143"/>
    <n v="0.83599999999999997"/>
  </r>
  <r>
    <x v="117"/>
    <x v="116"/>
    <x v="117"/>
    <n v="0.95607142857142857"/>
    <n v="0.8407714285714285"/>
  </r>
  <r>
    <x v="118"/>
    <x v="117"/>
    <x v="118"/>
    <n v="0.95612857142857144"/>
    <n v="0.80011428571428578"/>
  </r>
  <r>
    <x v="119"/>
    <x v="118"/>
    <x v="119"/>
    <n v="0.96888571428571424"/>
    <n v="0.80428571428571427"/>
  </r>
  <r>
    <x v="120"/>
    <x v="119"/>
    <x v="120"/>
    <n v="0.9649428571428571"/>
    <n v="0.75695714285714288"/>
  </r>
  <r>
    <x v="121"/>
    <x v="120"/>
    <x v="121"/>
    <n v="0.97175714285714299"/>
    <n v="0.82747142857142852"/>
  </r>
  <r>
    <x v="122"/>
    <x v="121"/>
    <x v="122"/>
    <n v="0.96254285714285726"/>
    <n v="0.77867142857142846"/>
  </r>
  <r>
    <x v="123"/>
    <x v="122"/>
    <x v="123"/>
    <n v="0.94158571428571436"/>
    <n v="0.75330000000000008"/>
  </r>
  <r>
    <x v="124"/>
    <x v="123"/>
    <x v="124"/>
    <n v="0.93704285714285707"/>
    <n v="0.7649285714285714"/>
  </r>
  <r>
    <x v="125"/>
    <x v="124"/>
    <x v="125"/>
    <n v="0.94852857142857139"/>
    <n v="0.79572857142857145"/>
  </r>
  <r>
    <x v="126"/>
    <x v="125"/>
    <x v="126"/>
    <n v="0.95178571428571423"/>
    <n v="0.8158428571428572"/>
  </r>
  <r>
    <x v="127"/>
    <x v="126"/>
    <x v="127"/>
    <n v="0.95015714285714281"/>
    <n v="0.79419999999999991"/>
  </r>
  <r>
    <x v="128"/>
    <x v="127"/>
    <x v="128"/>
    <n v="0.96645714285714279"/>
    <n v="0.8344571428571429"/>
  </r>
  <r>
    <x v="129"/>
    <x v="128"/>
    <x v="129"/>
    <n v="0.95544285714285704"/>
    <n v="0.83865714285714277"/>
  </r>
  <r>
    <x v="130"/>
    <x v="129"/>
    <x v="130"/>
    <n v="0.95551428571428565"/>
    <n v="0.79725714285714278"/>
  </r>
  <r>
    <x v="131"/>
    <x v="130"/>
    <x v="131"/>
    <n v="0.96854285714285726"/>
    <n v="0.80177142857142858"/>
  </r>
  <r>
    <x v="132"/>
    <x v="131"/>
    <x v="132"/>
    <n v="0.96472857142857138"/>
    <n v="0.75542857142857134"/>
  </r>
  <r>
    <x v="133"/>
    <x v="132"/>
    <x v="133"/>
    <n v="0.97118571428571421"/>
    <n v="0.8248428571428571"/>
  </r>
  <r>
    <x v="134"/>
    <x v="133"/>
    <x v="134"/>
    <n v="0.96237142857142843"/>
    <n v="0.77654285714285709"/>
  </r>
  <r>
    <x v="135"/>
    <x v="134"/>
    <x v="135"/>
    <n v="0.94102857142857144"/>
    <n v="0.75011428571428573"/>
  </r>
  <r>
    <x v="136"/>
    <x v="135"/>
    <x v="136"/>
    <n v="0.93658571428571435"/>
    <n v="0.76265714285714281"/>
  </r>
  <r>
    <x v="137"/>
    <x v="136"/>
    <x v="137"/>
    <n v="0.94739999999999991"/>
    <n v="0.79075714285714305"/>
  </r>
  <r>
    <x v="138"/>
    <x v="137"/>
    <x v="138"/>
    <n v="0.95014285714285696"/>
    <n v="0.80865714285714285"/>
  </r>
  <r>
    <x v="139"/>
    <x v="138"/>
    <x v="139"/>
    <n v="0.9490142857142857"/>
    <n v="0.78901428571428578"/>
  </r>
  <r>
    <x v="140"/>
    <x v="139"/>
    <x v="104"/>
    <n v="0.96550000000000025"/>
    <n v="0.83248571428571427"/>
  </r>
  <r>
    <x v="141"/>
    <x v="140"/>
    <x v="140"/>
    <n v="0.9548714285714287"/>
    <n v="0.83625714285714281"/>
  </r>
  <r>
    <x v="142"/>
    <x v="141"/>
    <x v="141"/>
    <n v="0.95502857142857145"/>
    <n v="0.79470000000000007"/>
  </r>
  <r>
    <x v="143"/>
    <x v="142"/>
    <x v="142"/>
    <n v="0.96832857142857143"/>
    <n v="0.79964285714285732"/>
  </r>
  <r>
    <x v="144"/>
    <x v="143"/>
    <x v="143"/>
    <n v="0.96454285714285704"/>
    <n v="0.7535142857142858"/>
  </r>
  <r>
    <x v="145"/>
    <x v="144"/>
    <x v="144"/>
    <n v="0.96125714285714281"/>
    <n v="0.8046714285714287"/>
  </r>
  <r>
    <x v="146"/>
    <x v="145"/>
    <x v="145"/>
    <n v="0.96542857142857141"/>
    <n v="0.78062857142857145"/>
  </r>
  <r>
    <x v="147"/>
    <x v="146"/>
    <x v="146"/>
    <n v="0.94051428571428575"/>
    <n v="0.74675714285714279"/>
  </r>
  <r>
    <x v="148"/>
    <x v="147"/>
    <x v="147"/>
    <n v="0.93621428571428578"/>
    <n v="0.7605857142857142"/>
  </r>
  <r>
    <x v="149"/>
    <x v="148"/>
    <x v="148"/>
    <n v="1.0074714285714286"/>
    <n v="0.85780000000000012"/>
  </r>
  <r>
    <x v="150"/>
    <x v="149"/>
    <x v="149"/>
    <n v="0.94830000000000003"/>
    <n v="0.79991428571428558"/>
  </r>
  <r>
    <x v="151"/>
    <x v="150"/>
    <x v="150"/>
    <n v="0.94782857142857146"/>
    <n v="0.78468571428571432"/>
  </r>
  <r>
    <x v="152"/>
    <x v="151"/>
    <x v="151"/>
    <n v="0.96445714285714279"/>
    <n v="0.83050000000000002"/>
  </r>
  <r>
    <x v="153"/>
    <x v="152"/>
    <x v="152"/>
    <n v="0.95422857142857154"/>
    <n v="0.83397142857142847"/>
  </r>
  <r>
    <x v="154"/>
    <x v="153"/>
    <x v="153"/>
    <n v="0.95478571428571435"/>
    <n v="0.79267142857142858"/>
  </r>
  <r>
    <x v="155"/>
    <x v="154"/>
    <x v="154"/>
    <n v="0.96827142857142845"/>
    <n v="0.79749999999999999"/>
  </r>
  <r>
    <x v="156"/>
    <x v="155"/>
    <x v="155"/>
    <n v="0.96460000000000001"/>
    <n v="0.75257142857142856"/>
  </r>
  <r>
    <x v="157"/>
    <x v="156"/>
    <x v="156"/>
    <n v="0.97005714285714295"/>
    <n v="0.81915714285714281"/>
  </r>
  <r>
    <x v="158"/>
    <x v="157"/>
    <x v="157"/>
    <n v="0.96230000000000004"/>
    <n v="0.7725142857142856"/>
  </r>
  <r>
    <x v="159"/>
    <x v="158"/>
    <x v="146"/>
    <n v="0.9403285714285714"/>
    <n v="0.74434285714285708"/>
  </r>
  <r>
    <x v="160"/>
    <x v="159"/>
    <x v="158"/>
    <n v="0.93592857142857144"/>
    <n v="0.75851428571428581"/>
  </r>
  <r>
    <x v="161"/>
    <x v="160"/>
    <x v="159"/>
    <n v="0.94540000000000002"/>
    <n v="0.78084285714285706"/>
  </r>
  <r>
    <x v="162"/>
    <x v="161"/>
    <x v="160"/>
    <n v="0.94662857142857137"/>
    <n v="0.79139999999999999"/>
  </r>
  <r>
    <x v="163"/>
    <x v="162"/>
    <x v="161"/>
    <n v="0.94639999999999991"/>
    <n v="0.77921428571428553"/>
  </r>
  <r>
    <x v="164"/>
    <x v="163"/>
    <x v="162"/>
    <n v="0.96299999999999997"/>
    <n v="0.82705714285714282"/>
  </r>
  <r>
    <x v="165"/>
    <x v="164"/>
    <x v="163"/>
    <n v="0.95355714285714288"/>
    <n v="0.83071428571428574"/>
  </r>
  <r>
    <x v="166"/>
    <x v="165"/>
    <x v="164"/>
    <n v="0.95434285714285727"/>
    <n v="0.78945714285714275"/>
  </r>
  <r>
    <x v="167"/>
    <x v="166"/>
    <x v="165"/>
    <n v="0.96822857142857133"/>
    <n v="0.79530000000000001"/>
  </r>
  <r>
    <x v="168"/>
    <x v="167"/>
    <x v="166"/>
    <n v="0.96447142857142865"/>
    <n v="0.74970000000000003"/>
  </r>
  <r>
    <x v="169"/>
    <x v="168"/>
    <x v="167"/>
    <n v="0.96954285714285715"/>
    <n v="0.81650000000000011"/>
  </r>
  <r>
    <x v="170"/>
    <x v="169"/>
    <x v="168"/>
    <n v="0.96218571428571431"/>
    <n v="0.76962857142857133"/>
  </r>
  <r>
    <x v="171"/>
    <x v="170"/>
    <x v="169"/>
    <n v="0.94002857142857132"/>
    <n v="0.74161428571428567"/>
  </r>
  <r>
    <x v="172"/>
    <x v="171"/>
    <x v="170"/>
    <n v="0.93567142857142849"/>
    <n v="0.75659999999999994"/>
  </r>
  <r>
    <x v="173"/>
    <x v="172"/>
    <x v="171"/>
    <n v="0.94460000000000011"/>
    <n v="0.77660000000000007"/>
  </r>
  <r>
    <x v="174"/>
    <x v="173"/>
    <x v="172"/>
    <n v="0.94501428571428558"/>
    <n v="0.78368571428571432"/>
  </r>
  <r>
    <x v="175"/>
    <x v="174"/>
    <x v="173"/>
    <n v="0.94510000000000005"/>
    <n v="0.77518571428571448"/>
  </r>
  <r>
    <x v="176"/>
    <x v="175"/>
    <x v="174"/>
    <n v="0.96150000000000013"/>
    <n v="0.82351428571428564"/>
  </r>
  <r>
    <x v="177"/>
    <x v="176"/>
    <x v="175"/>
    <n v="0.95300000000000007"/>
    <n v="0.82758571428571426"/>
  </r>
  <r>
    <x v="178"/>
    <x v="177"/>
    <x v="176"/>
    <n v="0.95397142857142847"/>
    <n v="0.78648571428571423"/>
  </r>
  <r>
    <x v="179"/>
    <x v="178"/>
    <x v="177"/>
    <n v="0.96814285714285719"/>
    <n v="0.793599999999999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B019A-4514-4C6B-AF51-2E882850318C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F20" firstHeaderRow="1" firstDataRow="2" firstDataCol="1"/>
  <pivotFields count="3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oma de demanda" fld="2" baseField="0" baseItem="0"/>
  </dataFields>
  <formats count="1">
    <format dxfId="15">
      <pivotArea collapsedLevelsAreSubtotals="1" fieldPosition="0">
        <references count="1">
          <reference field="1" count="0"/>
        </references>
      </pivotArea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653B1-17D1-4D92-AB61-CE1CAD2C913E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J28:N44" firstHeaderRow="0" firstDataRow="1" firstDataCol="1"/>
  <pivotFields count="8">
    <pivotField axis="axisRow" numFmtId="17" showAll="0">
      <items count="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dataField="1" showAll="0"/>
    <pivotField dataField="1" showAll="0"/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t="default"/>
      </items>
    </pivotField>
  </pivotFields>
  <rowFields count="4">
    <field x="7"/>
    <field x="6"/>
    <field x="5"/>
    <field x="0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édia de Bloco 1" fld="1" subtotal="average" baseField="7" baseItem="1"/>
    <dataField name="Média de Bloco 2" fld="2" subtotal="average" baseField="7" baseItem="1"/>
    <dataField name="Média de Bloco 3" fld="3" subtotal="average" baseField="7" baseItem="1"/>
    <dataField name="Média de Bloco 4" fld="4" subtotal="average" baseField="7" baseItem="1"/>
  </dataFields>
  <formats count="15">
    <format dxfId="30">
      <pivotArea collapsedLevelsAreSubtotals="1" fieldPosition="0">
        <references count="1">
          <reference field="7" count="1">
            <x v="1"/>
          </reference>
        </references>
      </pivotArea>
    </format>
    <format dxfId="29">
      <pivotArea collapsedLevelsAreSubtotals="1" fieldPosition="0">
        <references count="1">
          <reference field="7" count="1">
            <x v="2"/>
          </reference>
        </references>
      </pivotArea>
    </format>
    <format dxfId="28">
      <pivotArea collapsedLevelsAreSubtotals="1" fieldPosition="0">
        <references count="1">
          <reference field="7" count="1">
            <x v="3"/>
          </reference>
        </references>
      </pivotArea>
    </format>
    <format dxfId="27">
      <pivotArea collapsedLevelsAreSubtotals="1" fieldPosition="0">
        <references count="1">
          <reference field="7" count="1">
            <x v="4"/>
          </reference>
        </references>
      </pivotArea>
    </format>
    <format dxfId="26">
      <pivotArea collapsedLevelsAreSubtotals="1" fieldPosition="0">
        <references count="1">
          <reference field="7" count="1">
            <x v="5"/>
          </reference>
        </references>
      </pivotArea>
    </format>
    <format dxfId="25">
      <pivotArea collapsedLevelsAreSubtotals="1" fieldPosition="0">
        <references count="1">
          <reference field="7" count="1">
            <x v="6"/>
          </reference>
        </references>
      </pivotArea>
    </format>
    <format dxfId="24">
      <pivotArea collapsedLevelsAreSubtotals="1" fieldPosition="0">
        <references count="1">
          <reference field="7" count="1">
            <x v="7"/>
          </reference>
        </references>
      </pivotArea>
    </format>
    <format dxfId="23">
      <pivotArea collapsedLevelsAreSubtotals="1" fieldPosition="0">
        <references count="1">
          <reference field="7" count="1">
            <x v="8"/>
          </reference>
        </references>
      </pivotArea>
    </format>
    <format dxfId="22">
      <pivotArea collapsedLevelsAreSubtotals="1" fieldPosition="0">
        <references count="1">
          <reference field="7" count="1">
            <x v="9"/>
          </reference>
        </references>
      </pivotArea>
    </format>
    <format dxfId="21">
      <pivotArea collapsedLevelsAreSubtotals="1" fieldPosition="0">
        <references count="1">
          <reference field="7" count="1">
            <x v="10"/>
          </reference>
        </references>
      </pivotArea>
    </format>
    <format dxfId="20">
      <pivotArea collapsedLevelsAreSubtotals="1" fieldPosition="0">
        <references count="1">
          <reference field="7" count="1">
            <x v="11"/>
          </reference>
        </references>
      </pivotArea>
    </format>
    <format dxfId="19">
      <pivotArea collapsedLevelsAreSubtotals="1" fieldPosition="0">
        <references count="1">
          <reference field="7" count="1">
            <x v="12"/>
          </reference>
        </references>
      </pivotArea>
    </format>
    <format dxfId="18">
      <pivotArea collapsedLevelsAreSubtotals="1" fieldPosition="0">
        <references count="1">
          <reference field="7" count="1">
            <x v="13"/>
          </reference>
        </references>
      </pivotArea>
    </format>
    <format dxfId="17">
      <pivotArea collapsedLevelsAreSubtotals="1" fieldPosition="0">
        <references count="1">
          <reference field="7" count="1">
            <x v="14"/>
          </reference>
        </references>
      </pivotArea>
    </format>
    <format dxfId="16">
      <pivotArea collapsedLevelsAreSubtotals="1" fieldPosition="0">
        <references count="1">
          <reference field="7" count="1">
            <x v="15"/>
          </reference>
        </references>
      </pivotArea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E0AEA-429A-4AB4-85D6-794ABD9EC3E7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57:L73" firstHeaderRow="0" firstDataRow="1" firstDataCol="1"/>
  <pivotFields count="8">
    <pivotField axis="axisRow" numFmtId="17" showAll="0">
      <items count="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dataField="1" showAll="0">
      <items count="180">
        <item x="8"/>
        <item x="20"/>
        <item x="32"/>
        <item x="44"/>
        <item x="56"/>
        <item x="68"/>
        <item x="0"/>
        <item x="80"/>
        <item x="92"/>
        <item x="103"/>
        <item x="115"/>
        <item x="168"/>
        <item x="1"/>
        <item x="127"/>
        <item x="156"/>
        <item x="12"/>
        <item x="139"/>
        <item x="144"/>
        <item x="167"/>
        <item x="151"/>
        <item x="155"/>
        <item x="132"/>
        <item x="163"/>
        <item x="175"/>
        <item x="143"/>
        <item x="24"/>
        <item x="13"/>
        <item x="120"/>
        <item x="131"/>
        <item x="108"/>
        <item x="119"/>
        <item x="36"/>
        <item x="107"/>
        <item x="9"/>
        <item x="25"/>
        <item x="48"/>
        <item x="60"/>
        <item x="72"/>
        <item x="85"/>
        <item x="84"/>
        <item x="73"/>
        <item x="37"/>
        <item x="61"/>
        <item x="96"/>
        <item x="2"/>
        <item x="7"/>
        <item x="49"/>
        <item x="21"/>
        <item x="178"/>
        <item x="11"/>
        <item x="166"/>
        <item x="33"/>
        <item x="19"/>
        <item x="154"/>
        <item x="145"/>
        <item x="169"/>
        <item x="45"/>
        <item x="142"/>
        <item x="157"/>
        <item x="31"/>
        <item x="23"/>
        <item x="3"/>
        <item x="57"/>
        <item x="170"/>
        <item x="130"/>
        <item x="176"/>
        <item x="35"/>
        <item x="158"/>
        <item x="118"/>
        <item x="43"/>
        <item x="133"/>
        <item x="69"/>
        <item x="164"/>
        <item x="47"/>
        <item x="106"/>
        <item x="152"/>
        <item x="81"/>
        <item x="97"/>
        <item x="146"/>
        <item x="59"/>
        <item x="121"/>
        <item x="95"/>
        <item x="140"/>
        <item x="55"/>
        <item x="93"/>
        <item x="104"/>
        <item x="128"/>
        <item x="14"/>
        <item x="71"/>
        <item x="116"/>
        <item x="83"/>
        <item x="134"/>
        <item x="109"/>
        <item x="50"/>
        <item x="122"/>
        <item x="15"/>
        <item x="86"/>
        <item x="110"/>
        <item x="26"/>
        <item x="67"/>
        <item x="74"/>
        <item x="62"/>
        <item x="38"/>
        <item x="98"/>
        <item x="27"/>
        <item x="79"/>
        <item x="87"/>
        <item x="75"/>
        <item x="39"/>
        <item x="63"/>
        <item x="51"/>
        <item x="91"/>
        <item x="102"/>
        <item x="10"/>
        <item x="114"/>
        <item x="177"/>
        <item x="5"/>
        <item x="6"/>
        <item x="126"/>
        <item x="165"/>
        <item x="153"/>
        <item x="138"/>
        <item x="22"/>
        <item x="141"/>
        <item x="150"/>
        <item x="129"/>
        <item x="34"/>
        <item x="17"/>
        <item x="162"/>
        <item x="117"/>
        <item x="18"/>
        <item x="46"/>
        <item x="58"/>
        <item x="105"/>
        <item x="174"/>
        <item x="70"/>
        <item x="29"/>
        <item x="82"/>
        <item x="94"/>
        <item x="30"/>
        <item x="41"/>
        <item x="53"/>
        <item x="42"/>
        <item x="54"/>
        <item x="65"/>
        <item x="172"/>
        <item x="160"/>
        <item x="77"/>
        <item x="148"/>
        <item x="136"/>
        <item x="89"/>
        <item x="124"/>
        <item x="112"/>
        <item x="100"/>
        <item x="66"/>
        <item x="78"/>
        <item x="171"/>
        <item x="90"/>
        <item x="159"/>
        <item x="4"/>
        <item x="101"/>
        <item x="147"/>
        <item x="113"/>
        <item x="125"/>
        <item x="137"/>
        <item x="135"/>
        <item x="149"/>
        <item x="161"/>
        <item x="173"/>
        <item x="123"/>
        <item x="111"/>
        <item x="16"/>
        <item x="99"/>
        <item x="28"/>
        <item x="88"/>
        <item x="76"/>
        <item x="40"/>
        <item x="52"/>
        <item x="64"/>
        <item t="default"/>
      </items>
    </pivotField>
    <pivotField dataField="1" showAll="0">
      <items count="179">
        <item x="13"/>
        <item x="1"/>
        <item x="25"/>
        <item x="37"/>
        <item x="24"/>
        <item x="12"/>
        <item x="36"/>
        <item x="61"/>
        <item x="0"/>
        <item x="48"/>
        <item x="49"/>
        <item x="73"/>
        <item x="60"/>
        <item x="85"/>
        <item x="72"/>
        <item x="109"/>
        <item x="121"/>
        <item x="133"/>
        <item x="156"/>
        <item x="167"/>
        <item x="84"/>
        <item x="108"/>
        <item x="96"/>
        <item x="120"/>
        <item x="97"/>
        <item x="132"/>
        <item x="155"/>
        <item x="143"/>
        <item x="144"/>
        <item x="166"/>
        <item x="9"/>
        <item x="10"/>
        <item x="22"/>
        <item x="21"/>
        <item x="34"/>
        <item x="33"/>
        <item x="2"/>
        <item x="45"/>
        <item x="46"/>
        <item x="57"/>
        <item x="8"/>
        <item x="58"/>
        <item x="69"/>
        <item x="81"/>
        <item x="50"/>
        <item x="93"/>
        <item x="11"/>
        <item x="105"/>
        <item x="70"/>
        <item x="14"/>
        <item x="117"/>
        <item x="26"/>
        <item x="23"/>
        <item x="20"/>
        <item x="129"/>
        <item x="82"/>
        <item x="35"/>
        <item x="140"/>
        <item x="32"/>
        <item x="38"/>
        <item x="152"/>
        <item x="94"/>
        <item x="44"/>
        <item x="106"/>
        <item x="47"/>
        <item x="56"/>
        <item x="163"/>
        <item x="98"/>
        <item x="128"/>
        <item x="68"/>
        <item x="116"/>
        <item x="118"/>
        <item x="104"/>
        <item x="175"/>
        <item x="80"/>
        <item x="92"/>
        <item x="151"/>
        <item x="59"/>
        <item x="130"/>
        <item x="145"/>
        <item x="62"/>
        <item x="162"/>
        <item x="141"/>
        <item x="174"/>
        <item x="153"/>
        <item x="74"/>
        <item x="71"/>
        <item x="164"/>
        <item x="86"/>
        <item x="176"/>
        <item x="83"/>
        <item x="110"/>
        <item x="122"/>
        <item x="95"/>
        <item x="134"/>
        <item x="3"/>
        <item x="6"/>
        <item x="157"/>
        <item x="107"/>
        <item x="168"/>
        <item x="119"/>
        <item x="15"/>
        <item x="5"/>
        <item x="131"/>
        <item x="27"/>
        <item x="142"/>
        <item x="154"/>
        <item x="18"/>
        <item x="165"/>
        <item x="177"/>
        <item x="17"/>
        <item x="39"/>
        <item x="7"/>
        <item x="30"/>
        <item x="29"/>
        <item x="51"/>
        <item x="42"/>
        <item x="54"/>
        <item x="41"/>
        <item x="63"/>
        <item x="66"/>
        <item x="53"/>
        <item x="75"/>
        <item x="19"/>
        <item x="78"/>
        <item x="90"/>
        <item x="102"/>
        <item x="114"/>
        <item x="87"/>
        <item x="65"/>
        <item x="126"/>
        <item x="31"/>
        <item x="99"/>
        <item x="111"/>
        <item x="138"/>
        <item x="123"/>
        <item x="43"/>
        <item x="77"/>
        <item x="135"/>
        <item x="146"/>
        <item x="55"/>
        <item x="169"/>
        <item x="149"/>
        <item x="127"/>
        <item x="115"/>
        <item x="67"/>
        <item x="139"/>
        <item x="103"/>
        <item x="150"/>
        <item x="79"/>
        <item x="91"/>
        <item x="89"/>
        <item x="161"/>
        <item x="160"/>
        <item x="101"/>
        <item x="173"/>
        <item x="172"/>
        <item x="113"/>
        <item x="125"/>
        <item x="16"/>
        <item x="28"/>
        <item x="137"/>
        <item x="4"/>
        <item x="40"/>
        <item x="52"/>
        <item x="159"/>
        <item x="64"/>
        <item x="171"/>
        <item x="76"/>
        <item x="88"/>
        <item x="100"/>
        <item x="112"/>
        <item x="124"/>
        <item x="136"/>
        <item x="147"/>
        <item x="158"/>
        <item x="170"/>
        <item x="148"/>
        <item t="default"/>
      </items>
    </pivotField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t="default"/>
      </items>
    </pivotField>
  </pivotFields>
  <rowFields count="4">
    <field x="7"/>
    <field x="6"/>
    <field x="5"/>
    <field x="0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édia de 1" fld="1" subtotal="average" baseField="7" baseItem="1"/>
    <dataField name="Média de 2" fld="2" subtotal="average" baseField="7" baseItem="1"/>
    <dataField name="Média de 3" fld="3" subtotal="average" baseField="7" baseItem="1"/>
    <dataField name="Média de 4" fld="4" subtotal="average" baseField="7" baseItem="1"/>
  </dataFields>
  <formats count="15">
    <format dxfId="14">
      <pivotArea collapsedLevelsAreSubtotals="1" fieldPosition="0">
        <references count="1">
          <reference field="7" count="1">
            <x v="1"/>
          </reference>
        </references>
      </pivotArea>
    </format>
    <format dxfId="13">
      <pivotArea collapsedLevelsAreSubtotals="1" fieldPosition="0">
        <references count="1">
          <reference field="7" count="1">
            <x v="2"/>
          </reference>
        </references>
      </pivotArea>
    </format>
    <format dxfId="12">
      <pivotArea collapsedLevelsAreSubtotals="1" fieldPosition="0">
        <references count="1">
          <reference field="7" count="1">
            <x v="3"/>
          </reference>
        </references>
      </pivotArea>
    </format>
    <format dxfId="11">
      <pivotArea collapsedLevelsAreSubtotals="1" fieldPosition="0">
        <references count="1">
          <reference field="7" count="1">
            <x v="4"/>
          </reference>
        </references>
      </pivotArea>
    </format>
    <format dxfId="10">
      <pivotArea collapsedLevelsAreSubtotals="1" fieldPosition="0">
        <references count="1">
          <reference field="7" count="1">
            <x v="5"/>
          </reference>
        </references>
      </pivotArea>
    </format>
    <format dxfId="9">
      <pivotArea collapsedLevelsAreSubtotals="1" fieldPosition="0">
        <references count="1">
          <reference field="7" count="1">
            <x v="6"/>
          </reference>
        </references>
      </pivotArea>
    </format>
    <format dxfId="8">
      <pivotArea collapsedLevelsAreSubtotals="1" fieldPosition="0">
        <references count="1">
          <reference field="7" count="1">
            <x v="7"/>
          </reference>
        </references>
      </pivotArea>
    </format>
    <format dxfId="7">
      <pivotArea collapsedLevelsAreSubtotals="1" fieldPosition="0">
        <references count="1">
          <reference field="7" count="1">
            <x v="8"/>
          </reference>
        </references>
      </pivotArea>
    </format>
    <format dxfId="6">
      <pivotArea collapsedLevelsAreSubtotals="1" fieldPosition="0">
        <references count="1">
          <reference field="7" count="1">
            <x v="9"/>
          </reference>
        </references>
      </pivotArea>
    </format>
    <format dxfId="5">
      <pivotArea collapsedLevelsAreSubtotals="1" fieldPosition="0">
        <references count="1">
          <reference field="7" count="1">
            <x v="10"/>
          </reference>
        </references>
      </pivotArea>
    </format>
    <format dxfId="4">
      <pivotArea collapsedLevelsAreSubtotals="1" fieldPosition="0">
        <references count="1">
          <reference field="7" count="1">
            <x v="11"/>
          </reference>
        </references>
      </pivotArea>
    </format>
    <format dxfId="3">
      <pivotArea collapsedLevelsAreSubtotals="1" fieldPosition="0">
        <references count="1">
          <reference field="7" count="1">
            <x v="12"/>
          </reference>
        </references>
      </pivotArea>
    </format>
    <format dxfId="2">
      <pivotArea collapsedLevelsAreSubtotals="1" fieldPosition="0">
        <references count="1">
          <reference field="7" count="1">
            <x v="13"/>
          </reference>
        </references>
      </pivotArea>
    </format>
    <format dxfId="1">
      <pivotArea collapsedLevelsAreSubtotals="1" fieldPosition="0">
        <references count="1">
          <reference field="7" count="1">
            <x v="14"/>
          </reference>
        </references>
      </pivotArea>
    </format>
    <format dxfId="0">
      <pivotArea collapsedLevelsAreSubtotals="1" fieldPosition="0">
        <references count="1">
          <reference field="7" count="1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49C3-C936-4B91-B19C-2CEDCD2FFA02}">
  <dimension ref="A3:F20"/>
  <sheetViews>
    <sheetView workbookViewId="0">
      <selection activeCell="F5" sqref="F5:F19"/>
    </sheetView>
  </sheetViews>
  <sheetFormatPr defaultRowHeight="14.4" x14ac:dyDescent="0.3"/>
  <cols>
    <col min="1" max="1" width="17.88671875" bestFit="1" customWidth="1"/>
    <col min="2" max="2" width="19.5546875" bestFit="1" customWidth="1"/>
    <col min="3" max="6" width="12" bestFit="1" customWidth="1"/>
  </cols>
  <sheetData>
    <row r="3" spans="1:6" x14ac:dyDescent="0.3">
      <c r="A3" s="10" t="s">
        <v>22</v>
      </c>
      <c r="B3" s="10" t="s">
        <v>23</v>
      </c>
    </row>
    <row r="4" spans="1:6" x14ac:dyDescent="0.3">
      <c r="A4" s="10" t="s">
        <v>25</v>
      </c>
      <c r="B4" t="s">
        <v>18</v>
      </c>
      <c r="C4" t="s">
        <v>19</v>
      </c>
      <c r="D4" t="s">
        <v>20</v>
      </c>
      <c r="E4" t="s">
        <v>17</v>
      </c>
      <c r="F4" t="s">
        <v>24</v>
      </c>
    </row>
    <row r="5" spans="1:6" x14ac:dyDescent="0.3">
      <c r="A5" s="11">
        <v>2024</v>
      </c>
      <c r="B5" s="12">
        <v>9.1326716860597763</v>
      </c>
      <c r="C5" s="12">
        <v>21.982432124115903</v>
      </c>
      <c r="D5" s="12">
        <v>13.879534565366187</v>
      </c>
      <c r="E5" s="12">
        <v>50.312571298197582</v>
      </c>
      <c r="F5" s="12">
        <v>95.30720967373945</v>
      </c>
    </row>
    <row r="6" spans="1:6" x14ac:dyDescent="0.3">
      <c r="A6" s="11">
        <v>2025</v>
      </c>
      <c r="B6" s="12">
        <v>9.5155144877937481</v>
      </c>
      <c r="C6" s="12">
        <v>21.727469769564223</v>
      </c>
      <c r="D6" s="12">
        <v>14.189025781428244</v>
      </c>
      <c r="E6" s="12">
        <v>50.925507643166782</v>
      </c>
      <c r="F6" s="12">
        <v>96.357517681952999</v>
      </c>
    </row>
    <row r="7" spans="1:6" x14ac:dyDescent="0.3">
      <c r="A7" s="11">
        <v>2026</v>
      </c>
      <c r="B7" s="12">
        <v>10.049965776865161</v>
      </c>
      <c r="C7" s="12">
        <v>21.70784850558978</v>
      </c>
      <c r="D7" s="12">
        <v>14.669404517453799</v>
      </c>
      <c r="E7" s="12">
        <v>52.42961441934748</v>
      </c>
      <c r="F7" s="12">
        <v>98.856833219256231</v>
      </c>
    </row>
    <row r="8" spans="1:6" x14ac:dyDescent="0.3">
      <c r="A8" s="11">
        <v>2027</v>
      </c>
      <c r="B8" s="12">
        <v>10.302874743326489</v>
      </c>
      <c r="C8" s="12">
        <v>21.870978781656401</v>
      </c>
      <c r="D8" s="12">
        <v>15.204996577686515</v>
      </c>
      <c r="E8" s="12">
        <v>54.183093771389458</v>
      </c>
      <c r="F8" s="12">
        <v>101.56194387405887</v>
      </c>
    </row>
    <row r="9" spans="1:6" x14ac:dyDescent="0.3">
      <c r="A9" s="11">
        <v>2028</v>
      </c>
      <c r="B9" s="12">
        <v>10.603924252794888</v>
      </c>
      <c r="C9" s="12">
        <v>22.066735112936346</v>
      </c>
      <c r="D9" s="12">
        <v>15.82569016655259</v>
      </c>
      <c r="E9" s="12">
        <v>56.141341546885691</v>
      </c>
      <c r="F9" s="12">
        <v>104.63769107916951</v>
      </c>
    </row>
    <row r="10" spans="1:6" x14ac:dyDescent="0.3">
      <c r="A10" s="11">
        <v>2029</v>
      </c>
      <c r="B10" s="12">
        <v>10.996577686516085</v>
      </c>
      <c r="C10" s="12">
        <v>22.434747889573348</v>
      </c>
      <c r="D10" s="12">
        <v>16.472735569244808</v>
      </c>
      <c r="E10" s="12">
        <v>58.090691307323745</v>
      </c>
      <c r="F10" s="12">
        <v>107.99475245265799</v>
      </c>
    </row>
    <row r="11" spans="1:6" x14ac:dyDescent="0.3">
      <c r="A11" s="11">
        <v>2030</v>
      </c>
      <c r="B11" s="12">
        <v>11.413757700205338</v>
      </c>
      <c r="C11" s="12">
        <v>22.684804928131417</v>
      </c>
      <c r="D11" s="12">
        <v>17.125941136208077</v>
      </c>
      <c r="E11" s="12">
        <v>60.084074834588186</v>
      </c>
      <c r="F11" s="12">
        <v>111.30857859913301</v>
      </c>
    </row>
    <row r="12" spans="1:6" x14ac:dyDescent="0.3">
      <c r="A12" s="11">
        <v>2031</v>
      </c>
      <c r="B12" s="12">
        <v>11.723248916267396</v>
      </c>
      <c r="C12" s="12">
        <v>22.995665069587044</v>
      </c>
      <c r="D12" s="12">
        <v>17.822381930184804</v>
      </c>
      <c r="E12" s="12">
        <v>62.253479352041978</v>
      </c>
      <c r="F12" s="12">
        <v>114.79477526808122</v>
      </c>
    </row>
    <row r="13" spans="1:6" x14ac:dyDescent="0.3">
      <c r="A13" s="11">
        <v>2032</v>
      </c>
      <c r="B13" s="12">
        <v>12.043919689710243</v>
      </c>
      <c r="C13" s="12">
        <v>23.33504449007529</v>
      </c>
      <c r="D13" s="12">
        <v>18.533082363677845</v>
      </c>
      <c r="E13" s="12">
        <v>64.476386036960989</v>
      </c>
      <c r="F13" s="12">
        <v>118.38843258042436</v>
      </c>
    </row>
    <row r="14" spans="1:6" x14ac:dyDescent="0.3">
      <c r="A14" s="11">
        <v>2033</v>
      </c>
      <c r="B14" s="12">
        <v>12.480949121606207</v>
      </c>
      <c r="C14" s="12">
        <v>23.700205338809038</v>
      </c>
      <c r="D14" s="12">
        <v>19.300365046771617</v>
      </c>
      <c r="E14" s="12">
        <v>66.846566278804474</v>
      </c>
      <c r="F14" s="12">
        <v>122.32808578599133</v>
      </c>
    </row>
    <row r="15" spans="1:6" x14ac:dyDescent="0.3">
      <c r="A15" s="11">
        <v>2034</v>
      </c>
      <c r="B15" s="12">
        <v>12.800365046771617</v>
      </c>
      <c r="C15" s="12">
        <v>24.103353867214238</v>
      </c>
      <c r="D15" s="12">
        <v>20.083390371891401</v>
      </c>
      <c r="E15" s="12">
        <v>69.293406342687661</v>
      </c>
      <c r="F15" s="12">
        <v>126.28051562856491</v>
      </c>
    </row>
    <row r="16" spans="1:6" x14ac:dyDescent="0.3">
      <c r="A16" s="11">
        <v>2035</v>
      </c>
      <c r="B16" s="12">
        <v>13.139858544375999</v>
      </c>
      <c r="C16" s="12">
        <v>24.528519279032626</v>
      </c>
      <c r="D16" s="12">
        <v>20.854209445585216</v>
      </c>
      <c r="E16" s="12">
        <v>71.818503308236373</v>
      </c>
      <c r="F16" s="12">
        <v>130.3410905772302</v>
      </c>
    </row>
    <row r="17" spans="1:6" x14ac:dyDescent="0.3">
      <c r="A17" s="11">
        <v>2036</v>
      </c>
      <c r="B17" s="12">
        <v>13.509468400638832</v>
      </c>
      <c r="C17" s="12">
        <v>25.014145562400184</v>
      </c>
      <c r="D17" s="12">
        <v>21.688797627195985</v>
      </c>
      <c r="E17" s="12">
        <v>74.431895961670094</v>
      </c>
      <c r="F17" s="12">
        <v>134.64430755190511</v>
      </c>
    </row>
    <row r="18" spans="1:6" x14ac:dyDescent="0.3">
      <c r="A18" s="11">
        <v>2037</v>
      </c>
      <c r="B18" s="12">
        <v>13.889915582934064</v>
      </c>
      <c r="C18" s="12">
        <v>25.555555555555557</v>
      </c>
      <c r="D18" s="12">
        <v>22.546315309148984</v>
      </c>
      <c r="E18" s="12">
        <v>77.11419119324664</v>
      </c>
      <c r="F18" s="12">
        <v>139.10597764088524</v>
      </c>
    </row>
    <row r="19" spans="1:6" x14ac:dyDescent="0.3">
      <c r="A19" s="11">
        <v>2038</v>
      </c>
      <c r="B19" s="12">
        <v>14.272644307551905</v>
      </c>
      <c r="C19" s="12">
        <v>26.134953228382386</v>
      </c>
      <c r="D19" s="12">
        <v>23.364704540269219</v>
      </c>
      <c r="E19" s="12">
        <v>79.805612594113612</v>
      </c>
      <c r="F19" s="12">
        <v>143.57791467031711</v>
      </c>
    </row>
    <row r="20" spans="1:6" x14ac:dyDescent="0.3">
      <c r="A20" s="11" t="s">
        <v>24</v>
      </c>
      <c r="B20">
        <v>175.87565594341774</v>
      </c>
      <c r="C20">
        <v>349.8424595026238</v>
      </c>
      <c r="D20">
        <v>271.56057494866525</v>
      </c>
      <c r="E20">
        <v>948.20693588866084</v>
      </c>
      <c r="F20">
        <v>1745.4856262833675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3D73-541E-4C63-B06E-AE20C843D48F}">
  <dimension ref="A1:J30"/>
  <sheetViews>
    <sheetView tabSelected="1" workbookViewId="0">
      <selection activeCell="S4" sqref="S4"/>
    </sheetView>
  </sheetViews>
  <sheetFormatPr defaultRowHeight="14.4" x14ac:dyDescent="0.3"/>
  <cols>
    <col min="5" max="5" width="9.77734375" bestFit="1" customWidth="1"/>
  </cols>
  <sheetData>
    <row r="1" spans="1:10" x14ac:dyDescent="0.3">
      <c r="B1" t="s">
        <v>62</v>
      </c>
      <c r="C1" t="s">
        <v>60</v>
      </c>
      <c r="D1" t="s">
        <v>63</v>
      </c>
      <c r="E1" t="s">
        <v>61</v>
      </c>
      <c r="F1">
        <v>0.82099999999999995</v>
      </c>
    </row>
    <row r="2" spans="1:10" x14ac:dyDescent="0.3">
      <c r="A2">
        <v>2018</v>
      </c>
      <c r="B2">
        <v>67</v>
      </c>
    </row>
    <row r="3" spans="1:10" x14ac:dyDescent="0.3">
      <c r="A3">
        <v>2019</v>
      </c>
      <c r="B3">
        <v>68.180999999999997</v>
      </c>
    </row>
    <row r="4" spans="1:10" x14ac:dyDescent="0.3">
      <c r="A4">
        <v>2020</v>
      </c>
      <c r="B4">
        <v>67.885999999999996</v>
      </c>
    </row>
    <row r="5" spans="1:10" x14ac:dyDescent="0.3">
      <c r="A5">
        <v>2021</v>
      </c>
      <c r="B5">
        <v>70.837999999999994</v>
      </c>
    </row>
    <row r="6" spans="1:10" x14ac:dyDescent="0.3">
      <c r="A6">
        <v>2022</v>
      </c>
      <c r="B6">
        <v>72.313999999999993</v>
      </c>
    </row>
    <row r="7" spans="1:10" x14ac:dyDescent="0.3">
      <c r="A7">
        <v>2023</v>
      </c>
      <c r="B7">
        <v>74.97</v>
      </c>
    </row>
    <row r="8" spans="1:10" x14ac:dyDescent="0.3">
      <c r="A8">
        <v>2024</v>
      </c>
      <c r="B8">
        <v>77.037000000000006</v>
      </c>
      <c r="C8">
        <v>95.30720967373945</v>
      </c>
      <c r="D8">
        <v>77.037000000000006</v>
      </c>
      <c r="E8">
        <f>C8*$F$1</f>
        <v>78.247219142140082</v>
      </c>
    </row>
    <row r="9" spans="1:10" x14ac:dyDescent="0.3">
      <c r="A9">
        <v>2025</v>
      </c>
      <c r="C9">
        <v>96.357517681952999</v>
      </c>
      <c r="D9">
        <v>79.840999999999994</v>
      </c>
      <c r="E9">
        <f>C9*$F$1</f>
        <v>79.109522016883403</v>
      </c>
    </row>
    <row r="10" spans="1:10" x14ac:dyDescent="0.3">
      <c r="A10">
        <v>2026</v>
      </c>
      <c r="C10">
        <v>98.856833219256231</v>
      </c>
      <c r="D10">
        <v>82.350999999999999</v>
      </c>
      <c r="E10">
        <f>C10*$F$1</f>
        <v>81.161460073009366</v>
      </c>
    </row>
    <row r="11" spans="1:10" x14ac:dyDescent="0.3">
      <c r="A11">
        <v>2027</v>
      </c>
      <c r="C11">
        <v>101.56194387405887</v>
      </c>
      <c r="D11">
        <v>85.302999999999997</v>
      </c>
      <c r="E11">
        <f>C11*$F$1</f>
        <v>83.382355920602322</v>
      </c>
    </row>
    <row r="12" spans="1:10" x14ac:dyDescent="0.3">
      <c r="A12">
        <v>2028</v>
      </c>
      <c r="C12">
        <v>104.63769107916951</v>
      </c>
      <c r="D12">
        <v>87.959000000000003</v>
      </c>
      <c r="E12">
        <f>C12*$F$1</f>
        <v>85.907544375998171</v>
      </c>
    </row>
    <row r="13" spans="1:10" x14ac:dyDescent="0.3">
      <c r="A13">
        <v>2029</v>
      </c>
      <c r="C13">
        <v>107.99475245265799</v>
      </c>
      <c r="D13">
        <v>91.058999999999997</v>
      </c>
      <c r="E13">
        <f>C13*$F$1</f>
        <v>88.663691763632201</v>
      </c>
    </row>
    <row r="14" spans="1:10" x14ac:dyDescent="0.3">
      <c r="A14">
        <v>2030</v>
      </c>
      <c r="C14">
        <v>111.30857859913301</v>
      </c>
      <c r="D14">
        <v>93.863</v>
      </c>
      <c r="E14">
        <f>C14*$F$1</f>
        <v>91.3843430298882</v>
      </c>
      <c r="J14" s="19"/>
    </row>
    <row r="15" spans="1:10" x14ac:dyDescent="0.3">
      <c r="A15">
        <v>2031</v>
      </c>
      <c r="C15">
        <v>114.79477526808122</v>
      </c>
      <c r="D15">
        <v>96.814999999999998</v>
      </c>
      <c r="E15">
        <f>C15*$F$1</f>
        <v>94.246510495094682</v>
      </c>
      <c r="J15" s="19"/>
    </row>
    <row r="16" spans="1:10" x14ac:dyDescent="0.3">
      <c r="A16">
        <v>2032</v>
      </c>
      <c r="C16">
        <v>118.38843258042436</v>
      </c>
      <c r="D16">
        <v>99.768000000000001</v>
      </c>
      <c r="E16">
        <f>C16*$F$1</f>
        <v>97.196903148528392</v>
      </c>
      <c r="J16" s="19"/>
    </row>
    <row r="17" spans="1:10" x14ac:dyDescent="0.3">
      <c r="A17">
        <v>2033</v>
      </c>
      <c r="C17">
        <v>122.32808578599133</v>
      </c>
      <c r="D17">
        <v>103.16</v>
      </c>
      <c r="E17">
        <f>C17*$F$1</f>
        <v>100.43135843029889</v>
      </c>
      <c r="J17" s="19"/>
    </row>
    <row r="18" spans="1:10" x14ac:dyDescent="0.3">
      <c r="A18">
        <v>2034</v>
      </c>
      <c r="C18">
        <v>126.28051562856491</v>
      </c>
      <c r="D18">
        <v>106.26</v>
      </c>
      <c r="E18">
        <f>C18*$F$1</f>
        <v>103.67630333105178</v>
      </c>
      <c r="J18" s="19"/>
    </row>
    <row r="19" spans="1:10" x14ac:dyDescent="0.3">
      <c r="A19">
        <v>2035</v>
      </c>
      <c r="C19">
        <v>130.3410905772302</v>
      </c>
      <c r="E19">
        <f>C19*$F$1</f>
        <v>107.01003536390598</v>
      </c>
      <c r="J19" s="19"/>
    </row>
    <row r="20" spans="1:10" x14ac:dyDescent="0.3">
      <c r="A20">
        <v>2036</v>
      </c>
      <c r="C20">
        <v>134.64430755190511</v>
      </c>
      <c r="E20">
        <f>C20*$F$1</f>
        <v>110.54297650011409</v>
      </c>
      <c r="J20" s="19"/>
    </row>
    <row r="21" spans="1:10" x14ac:dyDescent="0.3">
      <c r="A21">
        <v>2037</v>
      </c>
      <c r="C21">
        <v>139.10597764088524</v>
      </c>
      <c r="E21">
        <f>C21*$F$1</f>
        <v>114.20600764316677</v>
      </c>
      <c r="J21" s="19"/>
    </row>
    <row r="22" spans="1:10" x14ac:dyDescent="0.3">
      <c r="A22">
        <v>2038</v>
      </c>
      <c r="C22">
        <v>143.57791467031711</v>
      </c>
      <c r="E22">
        <f>C22*$F$1</f>
        <v>117.87746794433035</v>
      </c>
      <c r="J22" s="19"/>
    </row>
    <row r="23" spans="1:10" x14ac:dyDescent="0.3">
      <c r="J23" s="19"/>
    </row>
    <row r="24" spans="1:10" x14ac:dyDescent="0.3">
      <c r="J24" s="19"/>
    </row>
    <row r="25" spans="1:10" x14ac:dyDescent="0.3">
      <c r="J25" s="19"/>
    </row>
    <row r="26" spans="1:10" x14ac:dyDescent="0.3">
      <c r="J26" s="19"/>
    </row>
    <row r="27" spans="1:10" x14ac:dyDescent="0.3">
      <c r="J27" s="19"/>
    </row>
    <row r="28" spans="1:10" x14ac:dyDescent="0.3">
      <c r="J28" s="19"/>
    </row>
    <row r="29" spans="1:10" x14ac:dyDescent="0.3">
      <c r="J29" s="19"/>
    </row>
    <row r="30" spans="1:10" x14ac:dyDescent="0.3">
      <c r="J30" s="19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287E-5306-43AF-9B42-BA3C78F3D6D1}">
  <dimension ref="C1:Z207"/>
  <sheetViews>
    <sheetView topLeftCell="A22" workbookViewId="0">
      <selection activeCell="K48" sqref="K48:K51"/>
    </sheetView>
  </sheetViews>
  <sheetFormatPr defaultRowHeight="14.4" x14ac:dyDescent="0.3"/>
  <cols>
    <col min="6" max="6" width="9.5546875" bestFit="1" customWidth="1"/>
    <col min="10" max="10" width="16.77734375" bestFit="1" customWidth="1"/>
    <col min="11" max="14" width="15" bestFit="1" customWidth="1"/>
  </cols>
  <sheetData>
    <row r="1" spans="4:26" x14ac:dyDescent="0.3">
      <c r="D1" s="18" t="s">
        <v>1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Y1" t="s">
        <v>26</v>
      </c>
    </row>
    <row r="2" spans="4:26" x14ac:dyDescent="0.3">
      <c r="F2" s="6" t="s">
        <v>2</v>
      </c>
      <c r="G2" s="6" t="s">
        <v>3</v>
      </c>
      <c r="H2" s="6" t="s">
        <v>4</v>
      </c>
      <c r="I2" s="6" t="s">
        <v>5</v>
      </c>
      <c r="J2" s="6" t="s">
        <v>6</v>
      </c>
      <c r="K2" s="6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6" t="s">
        <v>12</v>
      </c>
      <c r="Q2" s="6" t="s">
        <v>13</v>
      </c>
      <c r="Y2" t="s">
        <v>27</v>
      </c>
    </row>
    <row r="3" spans="4:26" x14ac:dyDescent="0.3">
      <c r="D3" s="7" t="s">
        <v>14</v>
      </c>
      <c r="E3">
        <v>1</v>
      </c>
      <c r="Y3" t="s">
        <v>28</v>
      </c>
      <c r="Z3" s="13" t="s">
        <v>29</v>
      </c>
    </row>
    <row r="4" spans="4:26" x14ac:dyDescent="0.3">
      <c r="D4" s="8">
        <v>1</v>
      </c>
      <c r="E4">
        <v>2024</v>
      </c>
      <c r="F4" s="9">
        <v>38284</v>
      </c>
      <c r="G4" s="9">
        <v>38033</v>
      </c>
      <c r="H4" s="9">
        <v>37791</v>
      </c>
      <c r="I4" s="9">
        <v>33828</v>
      </c>
      <c r="J4" s="9">
        <v>31633</v>
      </c>
      <c r="K4" s="9">
        <v>31015</v>
      </c>
      <c r="L4" s="9">
        <v>30757</v>
      </c>
      <c r="M4" s="9">
        <v>31499</v>
      </c>
      <c r="N4" s="9">
        <v>33600</v>
      </c>
      <c r="O4" s="9">
        <v>34313</v>
      </c>
      <c r="P4" s="9">
        <v>34113</v>
      </c>
      <c r="Q4" s="9">
        <v>35352</v>
      </c>
      <c r="R4">
        <f>AVERAGE(F4:Q4)</f>
        <v>34184.833333333336</v>
      </c>
      <c r="V4" t="s">
        <v>15</v>
      </c>
      <c r="W4" t="s">
        <v>16</v>
      </c>
      <c r="X4" t="s">
        <v>21</v>
      </c>
    </row>
    <row r="5" spans="4:26" x14ac:dyDescent="0.3">
      <c r="U5">
        <v>0</v>
      </c>
      <c r="V5" t="s">
        <v>18</v>
      </c>
      <c r="W5">
        <v>2024</v>
      </c>
      <c r="X5">
        <f>Y5/(730.5*12)</f>
        <v>9.1326716860597763</v>
      </c>
      <c r="Y5">
        <v>80057</v>
      </c>
    </row>
    <row r="6" spans="4:26" x14ac:dyDescent="0.3">
      <c r="U6">
        <v>1</v>
      </c>
      <c r="V6" t="s">
        <v>18</v>
      </c>
      <c r="W6">
        <v>2025</v>
      </c>
      <c r="X6">
        <f t="shared" ref="X6:X64" si="0">Y6/(730.5*12)</f>
        <v>9.5155144877937481</v>
      </c>
      <c r="Y6">
        <v>83413</v>
      </c>
    </row>
    <row r="7" spans="4:26" x14ac:dyDescent="0.3">
      <c r="E7" s="1">
        <v>45292</v>
      </c>
      <c r="F7" s="8">
        <f>SUM(F8:F11)</f>
        <v>38284</v>
      </c>
      <c r="G7" s="8">
        <f t="shared" ref="G7:Q7" si="1">SUM(G8:G11)</f>
        <v>38033</v>
      </c>
      <c r="H7" s="8">
        <f t="shared" si="1"/>
        <v>37791</v>
      </c>
      <c r="I7" s="8">
        <f t="shared" si="1"/>
        <v>33828</v>
      </c>
      <c r="J7" s="8">
        <f t="shared" si="1"/>
        <v>31633</v>
      </c>
      <c r="K7" s="8">
        <f t="shared" si="1"/>
        <v>31014.999999999996</v>
      </c>
      <c r="L7" s="8">
        <f t="shared" si="1"/>
        <v>30757</v>
      </c>
      <c r="M7" s="8">
        <f t="shared" si="1"/>
        <v>31499</v>
      </c>
      <c r="N7" s="8">
        <f t="shared" si="1"/>
        <v>33600</v>
      </c>
      <c r="O7" s="8">
        <f t="shared" si="1"/>
        <v>34313</v>
      </c>
      <c r="P7" s="8">
        <f t="shared" si="1"/>
        <v>34113</v>
      </c>
      <c r="Q7" s="8">
        <f t="shared" si="1"/>
        <v>35352</v>
      </c>
      <c r="U7">
        <v>2</v>
      </c>
      <c r="V7" t="s">
        <v>18</v>
      </c>
      <c r="W7">
        <v>2026</v>
      </c>
      <c r="X7">
        <f t="shared" si="0"/>
        <v>10.049965776865161</v>
      </c>
      <c r="Y7">
        <v>88098</v>
      </c>
    </row>
    <row r="8" spans="4:26" x14ac:dyDescent="0.3">
      <c r="D8" s="2">
        <v>1</v>
      </c>
      <c r="E8" s="3">
        <v>1.37E-2</v>
      </c>
      <c r="F8" s="8">
        <f>F$4*$E8</f>
        <v>524.49080000000004</v>
      </c>
      <c r="G8" s="8">
        <f t="shared" ref="G8:Q11" si="2">G$4*$E8</f>
        <v>521.0521</v>
      </c>
      <c r="H8" s="8">
        <f t="shared" si="2"/>
        <v>517.73670000000004</v>
      </c>
      <c r="I8" s="8">
        <f t="shared" si="2"/>
        <v>463.4436</v>
      </c>
      <c r="J8" s="8">
        <f t="shared" si="2"/>
        <v>433.37209999999999</v>
      </c>
      <c r="K8" s="8">
        <f t="shared" si="2"/>
        <v>424.90550000000002</v>
      </c>
      <c r="L8" s="8">
        <f t="shared" si="2"/>
        <v>421.37090000000001</v>
      </c>
      <c r="M8" s="8">
        <f t="shared" si="2"/>
        <v>431.53630000000004</v>
      </c>
      <c r="N8" s="8">
        <f t="shared" si="2"/>
        <v>460.32</v>
      </c>
      <c r="O8" s="8">
        <f t="shared" si="2"/>
        <v>470.0881</v>
      </c>
      <c r="P8" s="8">
        <f t="shared" si="2"/>
        <v>467.34809999999999</v>
      </c>
      <c r="Q8" s="8">
        <f t="shared" si="2"/>
        <v>484.32240000000002</v>
      </c>
      <c r="U8">
        <v>3</v>
      </c>
      <c r="V8" t="s">
        <v>18</v>
      </c>
      <c r="W8">
        <v>2027</v>
      </c>
      <c r="X8">
        <f t="shared" si="0"/>
        <v>10.302874743326489</v>
      </c>
      <c r="Y8">
        <v>90315</v>
      </c>
    </row>
    <row r="9" spans="4:26" x14ac:dyDescent="0.3">
      <c r="D9" s="2">
        <v>2</v>
      </c>
      <c r="E9" s="3">
        <v>0.36349999999999999</v>
      </c>
      <c r="F9" s="8">
        <f t="shared" ref="F9:F11" si="3">F$4*$E9</f>
        <v>13916.234</v>
      </c>
      <c r="G9" s="8">
        <f t="shared" si="2"/>
        <v>13824.995499999999</v>
      </c>
      <c r="H9" s="8">
        <f t="shared" si="2"/>
        <v>13737.0285</v>
      </c>
      <c r="I9" s="8">
        <f t="shared" si="2"/>
        <v>12296.477999999999</v>
      </c>
      <c r="J9" s="8">
        <f t="shared" si="2"/>
        <v>11498.595499999999</v>
      </c>
      <c r="K9" s="8">
        <f t="shared" si="2"/>
        <v>11273.952499999999</v>
      </c>
      <c r="L9" s="8">
        <f t="shared" si="2"/>
        <v>11180.1695</v>
      </c>
      <c r="M9" s="8">
        <f t="shared" si="2"/>
        <v>11449.886500000001</v>
      </c>
      <c r="N9" s="8">
        <f t="shared" si="2"/>
        <v>12213.6</v>
      </c>
      <c r="O9" s="8">
        <f t="shared" si="2"/>
        <v>12472.7755</v>
      </c>
      <c r="P9" s="8">
        <f t="shared" si="2"/>
        <v>12400.075499999999</v>
      </c>
      <c r="Q9" s="8">
        <f t="shared" si="2"/>
        <v>12850.451999999999</v>
      </c>
      <c r="U9">
        <v>4</v>
      </c>
      <c r="V9" t="s">
        <v>18</v>
      </c>
      <c r="W9">
        <v>2028</v>
      </c>
      <c r="X9">
        <f t="shared" si="0"/>
        <v>10.60392425279489</v>
      </c>
      <c r="Y9">
        <v>92954</v>
      </c>
    </row>
    <row r="10" spans="4:26" x14ac:dyDescent="0.3">
      <c r="D10" s="2">
        <v>3</v>
      </c>
      <c r="E10" s="3">
        <v>0.46920000000000001</v>
      </c>
      <c r="F10" s="8">
        <f t="shared" si="3"/>
        <v>17962.852800000001</v>
      </c>
      <c r="G10" s="8">
        <f t="shared" si="2"/>
        <v>17845.083600000002</v>
      </c>
      <c r="H10" s="8">
        <f t="shared" si="2"/>
        <v>17731.537199999999</v>
      </c>
      <c r="I10" s="8">
        <f t="shared" si="2"/>
        <v>15872.097600000001</v>
      </c>
      <c r="J10" s="8">
        <f t="shared" si="2"/>
        <v>14842.203600000001</v>
      </c>
      <c r="K10" s="8">
        <f t="shared" si="2"/>
        <v>14552.237999999999</v>
      </c>
      <c r="L10" s="8">
        <f t="shared" si="2"/>
        <v>14431.1844</v>
      </c>
      <c r="M10" s="8">
        <f t="shared" si="2"/>
        <v>14779.3308</v>
      </c>
      <c r="N10" s="8">
        <f t="shared" si="2"/>
        <v>15765.12</v>
      </c>
      <c r="O10" s="8">
        <f t="shared" si="2"/>
        <v>16099.659600000001</v>
      </c>
      <c r="P10" s="8">
        <f t="shared" si="2"/>
        <v>16005.819600000001</v>
      </c>
      <c r="Q10" s="8">
        <f t="shared" si="2"/>
        <v>16587.1584</v>
      </c>
      <c r="U10">
        <v>5</v>
      </c>
      <c r="V10" t="s">
        <v>18</v>
      </c>
      <c r="W10">
        <v>2029</v>
      </c>
      <c r="X10">
        <f t="shared" si="0"/>
        <v>10.996577686516085</v>
      </c>
      <c r="Y10">
        <v>96396</v>
      </c>
    </row>
    <row r="11" spans="4:26" x14ac:dyDescent="0.3">
      <c r="D11" s="2">
        <v>4</v>
      </c>
      <c r="E11" s="3">
        <v>0.15359999999999999</v>
      </c>
      <c r="F11" s="8">
        <f t="shared" si="3"/>
        <v>5880.4223999999995</v>
      </c>
      <c r="G11" s="8">
        <f t="shared" si="2"/>
        <v>5841.8687999999993</v>
      </c>
      <c r="H11" s="8">
        <f t="shared" si="2"/>
        <v>5804.6975999999995</v>
      </c>
      <c r="I11" s="8">
        <f t="shared" si="2"/>
        <v>5195.9807999999994</v>
      </c>
      <c r="J11" s="8">
        <f t="shared" si="2"/>
        <v>4858.8287999999993</v>
      </c>
      <c r="K11" s="8">
        <f t="shared" si="2"/>
        <v>4763.9039999999995</v>
      </c>
      <c r="L11" s="8">
        <f t="shared" si="2"/>
        <v>4724.2752</v>
      </c>
      <c r="M11" s="8">
        <f t="shared" si="2"/>
        <v>4838.2464</v>
      </c>
      <c r="N11" s="8">
        <f t="shared" si="2"/>
        <v>5160.9599999999991</v>
      </c>
      <c r="O11" s="8">
        <f t="shared" si="2"/>
        <v>5270.4767999999995</v>
      </c>
      <c r="P11" s="8">
        <f t="shared" si="2"/>
        <v>5239.7567999999992</v>
      </c>
      <c r="Q11" s="8">
        <f t="shared" si="2"/>
        <v>5430.0671999999995</v>
      </c>
      <c r="U11">
        <v>6</v>
      </c>
      <c r="V11" t="s">
        <v>18</v>
      </c>
      <c r="W11">
        <v>2030</v>
      </c>
      <c r="X11">
        <f t="shared" si="0"/>
        <v>11.413757700205339</v>
      </c>
      <c r="Y11">
        <v>100053</v>
      </c>
    </row>
    <row r="12" spans="4:26" x14ac:dyDescent="0.3">
      <c r="U12">
        <v>7</v>
      </c>
      <c r="V12" t="s">
        <v>18</v>
      </c>
      <c r="W12">
        <v>2031</v>
      </c>
      <c r="X12">
        <f t="shared" si="0"/>
        <v>11.723248916267396</v>
      </c>
      <c r="Y12">
        <v>102766</v>
      </c>
    </row>
    <row r="13" spans="4:26" x14ac:dyDescent="0.3">
      <c r="D13" t="s">
        <v>0</v>
      </c>
      <c r="U13">
        <v>8</v>
      </c>
      <c r="V13" t="s">
        <v>18</v>
      </c>
      <c r="W13">
        <v>2032</v>
      </c>
      <c r="X13">
        <f t="shared" si="0"/>
        <v>12.043919689710243</v>
      </c>
      <c r="Y13">
        <v>105577</v>
      </c>
    </row>
    <row r="14" spans="4:26" x14ac:dyDescent="0.3">
      <c r="D14" s="4">
        <v>1</v>
      </c>
      <c r="E14" s="1">
        <v>45292</v>
      </c>
      <c r="F14" s="8">
        <f>SUM(F15:F18)</f>
        <v>38284.313928799995</v>
      </c>
      <c r="G14" s="8">
        <f t="shared" ref="G14:Q14" si="4">SUM(G15:G18)</f>
        <v>38033.311870599995</v>
      </c>
      <c r="H14" s="8">
        <f t="shared" si="4"/>
        <v>37791.30988619999</v>
      </c>
      <c r="I14" s="8">
        <f t="shared" si="4"/>
        <v>33828.2773896</v>
      </c>
      <c r="J14" s="8">
        <f t="shared" si="4"/>
        <v>31633.2593906</v>
      </c>
      <c r="K14" s="8">
        <f t="shared" si="4"/>
        <v>31015.254322999997</v>
      </c>
      <c r="L14" s="8">
        <f t="shared" si="4"/>
        <v>30757.252207400001</v>
      </c>
      <c r="M14" s="8">
        <f t="shared" si="4"/>
        <v>31499.258291799997</v>
      </c>
      <c r="N14" s="8">
        <f t="shared" si="4"/>
        <v>33600.275520000003</v>
      </c>
      <c r="O14" s="8">
        <f t="shared" si="4"/>
        <v>34313.2813666</v>
      </c>
      <c r="P14" s="8">
        <f t="shared" si="4"/>
        <v>34113.279726599998</v>
      </c>
      <c r="Q14" s="8">
        <f t="shared" si="4"/>
        <v>35352.289886400002</v>
      </c>
      <c r="U14">
        <v>9</v>
      </c>
      <c r="V14" t="s">
        <v>18</v>
      </c>
      <c r="W14">
        <v>2033</v>
      </c>
      <c r="X14">
        <f t="shared" si="0"/>
        <v>12.480949121606205</v>
      </c>
      <c r="Y14">
        <v>109408</v>
      </c>
    </row>
    <row r="15" spans="4:26" x14ac:dyDescent="0.3">
      <c r="D15" s="2">
        <v>1</v>
      </c>
      <c r="E15" s="5">
        <v>1.3753</v>
      </c>
      <c r="F15" s="8">
        <f>$E15*F8</f>
        <v>721.33219724000003</v>
      </c>
      <c r="G15" s="8">
        <f t="shared" ref="G15:Q15" si="5">$E15*G8</f>
        <v>716.60295312999995</v>
      </c>
      <c r="H15" s="8">
        <f t="shared" si="5"/>
        <v>712.04328351000004</v>
      </c>
      <c r="I15" s="8">
        <f t="shared" si="5"/>
        <v>637.37398308000002</v>
      </c>
      <c r="J15" s="8">
        <f t="shared" si="5"/>
        <v>596.01664913000002</v>
      </c>
      <c r="K15" s="8">
        <f t="shared" si="5"/>
        <v>584.37253414999998</v>
      </c>
      <c r="L15" s="8">
        <f t="shared" si="5"/>
        <v>579.51139877000003</v>
      </c>
      <c r="M15" s="8">
        <f t="shared" si="5"/>
        <v>593.49187339000002</v>
      </c>
      <c r="N15" s="8">
        <f t="shared" si="5"/>
        <v>633.07809599999996</v>
      </c>
      <c r="O15" s="8">
        <f t="shared" si="5"/>
        <v>646.51216392999993</v>
      </c>
      <c r="P15" s="8">
        <f t="shared" si="5"/>
        <v>642.74384192999992</v>
      </c>
      <c r="Q15" s="8">
        <f t="shared" si="5"/>
        <v>666.08859672000006</v>
      </c>
      <c r="R15" s="8">
        <f>AVERAGE(F15:Q15)</f>
        <v>644.09729758166668</v>
      </c>
      <c r="S15" s="15">
        <f>R15/$R$4</f>
        <v>1.8841609999999998E-2</v>
      </c>
      <c r="T15" s="15">
        <f>E15*E8</f>
        <v>1.8841610000000002E-2</v>
      </c>
      <c r="U15">
        <v>10</v>
      </c>
      <c r="V15" t="s">
        <v>18</v>
      </c>
      <c r="W15">
        <v>2034</v>
      </c>
      <c r="X15">
        <f t="shared" si="0"/>
        <v>12.800365046771617</v>
      </c>
      <c r="Y15">
        <v>112208</v>
      </c>
    </row>
    <row r="16" spans="4:26" x14ac:dyDescent="0.3">
      <c r="D16" s="2">
        <v>2</v>
      </c>
      <c r="E16" s="5">
        <v>1.1469</v>
      </c>
      <c r="F16" s="8">
        <f t="shared" ref="F16:Q16" si="6">$E16*F9</f>
        <v>15960.528774600001</v>
      </c>
      <c r="G16" s="8">
        <f t="shared" si="6"/>
        <v>15855.887338949999</v>
      </c>
      <c r="H16" s="8">
        <f t="shared" si="6"/>
        <v>15754.997986650002</v>
      </c>
      <c r="I16" s="8">
        <f t="shared" si="6"/>
        <v>14102.8306182</v>
      </c>
      <c r="J16" s="8">
        <f t="shared" si="6"/>
        <v>13187.73917895</v>
      </c>
      <c r="K16" s="8">
        <f t="shared" si="6"/>
        <v>12930.096122249999</v>
      </c>
      <c r="L16" s="8">
        <f t="shared" si="6"/>
        <v>12822.536399550001</v>
      </c>
      <c r="M16" s="8">
        <f t="shared" si="6"/>
        <v>13131.87482685</v>
      </c>
      <c r="N16" s="8">
        <f t="shared" si="6"/>
        <v>14007.777840000001</v>
      </c>
      <c r="O16" s="8">
        <f t="shared" si="6"/>
        <v>14305.02622095</v>
      </c>
      <c r="P16" s="8">
        <f t="shared" si="6"/>
        <v>14221.646590949998</v>
      </c>
      <c r="Q16" s="8">
        <f t="shared" si="6"/>
        <v>14738.1833988</v>
      </c>
      <c r="R16" s="8">
        <f t="shared" ref="R16:R18" si="7">AVERAGE(F16:Q16)</f>
        <v>14251.593774724999</v>
      </c>
      <c r="S16" s="15">
        <f t="shared" ref="S16:S18" si="8">R16/$R$4</f>
        <v>0.41689814999999997</v>
      </c>
      <c r="T16" s="15">
        <f t="shared" ref="T16:T18" si="9">E16*E9</f>
        <v>0.41689815000000002</v>
      </c>
      <c r="U16">
        <v>11</v>
      </c>
      <c r="V16" t="s">
        <v>18</v>
      </c>
      <c r="W16">
        <v>2035</v>
      </c>
      <c r="X16">
        <f t="shared" si="0"/>
        <v>13.139858544375999</v>
      </c>
      <c r="Y16">
        <v>115184</v>
      </c>
    </row>
    <row r="17" spans="3:25" x14ac:dyDescent="0.3">
      <c r="D17" s="2">
        <v>3</v>
      </c>
      <c r="E17" s="5">
        <v>0.96589999999999998</v>
      </c>
      <c r="F17" s="8">
        <f t="shared" ref="F17:Q17" si="10">$E17*F10</f>
        <v>17350.319519519999</v>
      </c>
      <c r="G17" s="8">
        <f t="shared" si="10"/>
        <v>17236.566249240001</v>
      </c>
      <c r="H17" s="8">
        <f t="shared" si="10"/>
        <v>17126.891781479997</v>
      </c>
      <c r="I17" s="8">
        <f t="shared" si="10"/>
        <v>15330.859071840001</v>
      </c>
      <c r="J17" s="8">
        <f t="shared" si="10"/>
        <v>14336.08445724</v>
      </c>
      <c r="K17" s="8">
        <f t="shared" si="10"/>
        <v>14056.0066842</v>
      </c>
      <c r="L17" s="8">
        <f t="shared" si="10"/>
        <v>13939.081011959999</v>
      </c>
      <c r="M17" s="8">
        <f t="shared" si="10"/>
        <v>14275.35561972</v>
      </c>
      <c r="N17" s="8">
        <f t="shared" si="10"/>
        <v>15227.529408</v>
      </c>
      <c r="O17" s="8">
        <f t="shared" si="10"/>
        <v>15550.66120764</v>
      </c>
      <c r="P17" s="8">
        <f t="shared" si="10"/>
        <v>15460.02115164</v>
      </c>
      <c r="Q17" s="8">
        <f t="shared" si="10"/>
        <v>16021.53629856</v>
      </c>
      <c r="R17" s="8">
        <f t="shared" si="7"/>
        <v>15492.576038419997</v>
      </c>
      <c r="S17" s="15">
        <f t="shared" si="8"/>
        <v>0.45320027999999984</v>
      </c>
      <c r="T17" s="15">
        <f t="shared" si="9"/>
        <v>0.45320028000000001</v>
      </c>
      <c r="U17">
        <v>12</v>
      </c>
      <c r="V17" t="s">
        <v>18</v>
      </c>
      <c r="W17">
        <v>2036</v>
      </c>
      <c r="X17">
        <f t="shared" si="0"/>
        <v>13.509468400638832</v>
      </c>
      <c r="Y17">
        <v>118424</v>
      </c>
    </row>
    <row r="18" spans="3:25" x14ac:dyDescent="0.3">
      <c r="D18" s="2">
        <v>4</v>
      </c>
      <c r="E18" s="5">
        <v>0.72309999999999997</v>
      </c>
      <c r="F18" s="8">
        <f t="shared" ref="F18:Q18" si="11">$E18*F11</f>
        <v>4252.1334374399994</v>
      </c>
      <c r="G18" s="8">
        <f t="shared" si="11"/>
        <v>4224.2553292799994</v>
      </c>
      <c r="H18" s="8">
        <f t="shared" si="11"/>
        <v>4197.3768345599992</v>
      </c>
      <c r="I18" s="8">
        <f t="shared" si="11"/>
        <v>3757.2137164799992</v>
      </c>
      <c r="J18" s="8">
        <f t="shared" si="11"/>
        <v>3513.4191052799993</v>
      </c>
      <c r="K18" s="8">
        <f t="shared" si="11"/>
        <v>3444.7789823999997</v>
      </c>
      <c r="L18" s="8">
        <f t="shared" si="11"/>
        <v>3416.1233971199999</v>
      </c>
      <c r="M18" s="8">
        <f t="shared" si="11"/>
        <v>3498.53597184</v>
      </c>
      <c r="N18" s="8">
        <f t="shared" si="11"/>
        <v>3731.890175999999</v>
      </c>
      <c r="O18" s="8">
        <f t="shared" si="11"/>
        <v>3811.0817740799994</v>
      </c>
      <c r="P18" s="8">
        <f t="shared" si="11"/>
        <v>3788.8681420799994</v>
      </c>
      <c r="Q18" s="8">
        <f t="shared" si="11"/>
        <v>3926.4815923199994</v>
      </c>
      <c r="R18" s="8">
        <f t="shared" si="7"/>
        <v>3796.8465382399995</v>
      </c>
      <c r="S18" s="15">
        <f t="shared" si="8"/>
        <v>0.11106815999999997</v>
      </c>
      <c r="T18" s="15">
        <f t="shared" si="9"/>
        <v>0.11106815999999999</v>
      </c>
      <c r="U18">
        <v>13</v>
      </c>
      <c r="V18" t="s">
        <v>18</v>
      </c>
      <c r="W18">
        <v>2037</v>
      </c>
      <c r="X18">
        <f t="shared" si="0"/>
        <v>13.889915582934064</v>
      </c>
      <c r="Y18">
        <v>121759</v>
      </c>
    </row>
    <row r="19" spans="3:25" x14ac:dyDescent="0.3">
      <c r="U19">
        <v>14</v>
      </c>
      <c r="V19" t="s">
        <v>18</v>
      </c>
      <c r="W19">
        <v>2038</v>
      </c>
      <c r="X19">
        <f t="shared" si="0"/>
        <v>14.272644307551905</v>
      </c>
      <c r="Y19">
        <v>125114</v>
      </c>
    </row>
    <row r="20" spans="3:25" x14ac:dyDescent="0.3">
      <c r="F20" s="8">
        <f>F14-F7</f>
        <v>0.31392879999475554</v>
      </c>
      <c r="G20" s="8">
        <f t="shared" ref="G20:Q20" si="12">G14-G7</f>
        <v>0.31187059999501798</v>
      </c>
      <c r="H20" s="8">
        <f t="shared" si="12"/>
        <v>0.30988619998970535</v>
      </c>
      <c r="I20" s="8">
        <f t="shared" si="12"/>
        <v>0.27738959999987856</v>
      </c>
      <c r="J20" s="8">
        <f t="shared" si="12"/>
        <v>0.25939060000018799</v>
      </c>
      <c r="K20" s="8">
        <f t="shared" si="12"/>
        <v>0.25432300000102259</v>
      </c>
      <c r="L20" s="8">
        <f t="shared" si="12"/>
        <v>0.25220740000077058</v>
      </c>
      <c r="M20" s="8">
        <f t="shared" si="12"/>
        <v>0.25829179999709595</v>
      </c>
      <c r="N20" s="8">
        <f t="shared" si="12"/>
        <v>0.2755200000028708</v>
      </c>
      <c r="O20" s="8">
        <f t="shared" si="12"/>
        <v>0.2813666000001831</v>
      </c>
      <c r="P20" s="8">
        <f t="shared" si="12"/>
        <v>0.27972659999795724</v>
      </c>
      <c r="Q20" s="8">
        <f t="shared" si="12"/>
        <v>0.28988640000170562</v>
      </c>
      <c r="U20">
        <v>15</v>
      </c>
      <c r="V20" t="s">
        <v>19</v>
      </c>
      <c r="W20">
        <v>2024</v>
      </c>
      <c r="X20">
        <f t="shared" si="0"/>
        <v>21.982432124115903</v>
      </c>
      <c r="Y20">
        <v>192698</v>
      </c>
    </row>
    <row r="21" spans="3:25" x14ac:dyDescent="0.3">
      <c r="U21">
        <v>16</v>
      </c>
      <c r="V21" t="s">
        <v>19</v>
      </c>
      <c r="W21">
        <v>2025</v>
      </c>
      <c r="X21">
        <f t="shared" si="0"/>
        <v>21.727469769564227</v>
      </c>
      <c r="Y21">
        <v>190463</v>
      </c>
    </row>
    <row r="22" spans="3:25" x14ac:dyDescent="0.3">
      <c r="F22" s="8">
        <f>$E15*F$4*$E8</f>
        <v>721.33219723999991</v>
      </c>
      <c r="G22" s="8">
        <f t="shared" ref="G22:Q22" si="13">$E15*G$4*$E8</f>
        <v>716.60295312999995</v>
      </c>
      <c r="H22" s="8">
        <f t="shared" si="13"/>
        <v>712.04328351000004</v>
      </c>
      <c r="I22" s="8">
        <f t="shared" si="13"/>
        <v>637.37398308000002</v>
      </c>
      <c r="J22" s="8">
        <f t="shared" si="13"/>
        <v>596.01664913000002</v>
      </c>
      <c r="K22" s="8">
        <f t="shared" si="13"/>
        <v>584.37253414999998</v>
      </c>
      <c r="L22" s="8">
        <f t="shared" si="13"/>
        <v>579.51139876999991</v>
      </c>
      <c r="M22" s="8">
        <f t="shared" si="13"/>
        <v>593.49187339000002</v>
      </c>
      <c r="N22" s="8">
        <f t="shared" si="13"/>
        <v>633.07809600000007</v>
      </c>
      <c r="O22" s="8">
        <f t="shared" si="13"/>
        <v>646.51216392999993</v>
      </c>
      <c r="P22" s="8">
        <f t="shared" si="13"/>
        <v>642.74384193000003</v>
      </c>
      <c r="Q22" s="8">
        <f t="shared" si="13"/>
        <v>666.08859671999994</v>
      </c>
      <c r="S22" s="15"/>
      <c r="U22">
        <v>17</v>
      </c>
      <c r="V22" t="s">
        <v>19</v>
      </c>
      <c r="W22">
        <v>2026</v>
      </c>
      <c r="X22">
        <f t="shared" si="0"/>
        <v>21.70784850558978</v>
      </c>
      <c r="Y22">
        <v>190291</v>
      </c>
    </row>
    <row r="23" spans="3:25" x14ac:dyDescent="0.3">
      <c r="F23" s="8">
        <f t="shared" ref="F23:Q23" si="14">$E16*F$4*$E9</f>
        <v>15960.528774599999</v>
      </c>
      <c r="G23" s="8">
        <f t="shared" si="14"/>
        <v>15855.88733895</v>
      </c>
      <c r="H23" s="8">
        <f t="shared" si="14"/>
        <v>15754.99798665</v>
      </c>
      <c r="I23" s="8">
        <f t="shared" si="14"/>
        <v>14102.8306182</v>
      </c>
      <c r="J23" s="8">
        <f t="shared" si="14"/>
        <v>13187.73917895</v>
      </c>
      <c r="K23" s="8">
        <f t="shared" si="14"/>
        <v>12930.096122249999</v>
      </c>
      <c r="L23" s="8">
        <f t="shared" si="14"/>
        <v>12822.536399549999</v>
      </c>
      <c r="M23" s="8">
        <f t="shared" si="14"/>
        <v>13131.874826849998</v>
      </c>
      <c r="N23" s="8">
        <f t="shared" si="14"/>
        <v>14007.777840000001</v>
      </c>
      <c r="O23" s="8">
        <f t="shared" si="14"/>
        <v>14305.02622095</v>
      </c>
      <c r="P23" s="8">
        <f t="shared" si="14"/>
        <v>14221.646590950002</v>
      </c>
      <c r="Q23" s="8">
        <f t="shared" si="14"/>
        <v>14738.1833988</v>
      </c>
      <c r="S23" s="15"/>
      <c r="U23">
        <v>18</v>
      </c>
      <c r="V23" t="s">
        <v>19</v>
      </c>
      <c r="W23">
        <v>2027</v>
      </c>
      <c r="X23">
        <f t="shared" si="0"/>
        <v>21.870978781656401</v>
      </c>
      <c r="Y23">
        <v>191721</v>
      </c>
    </row>
    <row r="24" spans="3:25" x14ac:dyDescent="0.3">
      <c r="F24" s="8">
        <f t="shared" ref="F24:Q24" si="15">$E17*F$4*$E10</f>
        <v>17350.319519519999</v>
      </c>
      <c r="G24" s="8">
        <f t="shared" si="15"/>
        <v>17236.566249240001</v>
      </c>
      <c r="H24" s="8">
        <f t="shared" si="15"/>
        <v>17126.891781480001</v>
      </c>
      <c r="I24" s="8">
        <f t="shared" si="15"/>
        <v>15330.859071839999</v>
      </c>
      <c r="J24" s="8">
        <f t="shared" si="15"/>
        <v>14336.08445724</v>
      </c>
      <c r="K24" s="8">
        <f t="shared" si="15"/>
        <v>14056.006684200001</v>
      </c>
      <c r="L24" s="8">
        <f t="shared" si="15"/>
        <v>13939.081011960001</v>
      </c>
      <c r="M24" s="8">
        <f t="shared" si="15"/>
        <v>14275.35561972</v>
      </c>
      <c r="N24" s="8">
        <f t="shared" si="15"/>
        <v>15227.529407999999</v>
      </c>
      <c r="O24" s="8">
        <f t="shared" si="15"/>
        <v>15550.661207639998</v>
      </c>
      <c r="P24" s="8">
        <f t="shared" si="15"/>
        <v>15460.021151639998</v>
      </c>
      <c r="Q24" s="8">
        <f t="shared" si="15"/>
        <v>16021.53629856</v>
      </c>
      <c r="S24" s="15"/>
      <c r="U24">
        <v>19</v>
      </c>
      <c r="V24" t="s">
        <v>19</v>
      </c>
      <c r="W24">
        <v>2028</v>
      </c>
      <c r="X24">
        <f t="shared" si="0"/>
        <v>22.066735112936346</v>
      </c>
      <c r="Y24">
        <v>193437</v>
      </c>
    </row>
    <row r="25" spans="3:25" x14ac:dyDescent="0.3">
      <c r="F25" s="8">
        <f t="shared" ref="F25:Q25" si="16">$E18*F$4*$E11</f>
        <v>4252.1334374399994</v>
      </c>
      <c r="G25" s="8">
        <f t="shared" si="16"/>
        <v>4224.2553292799994</v>
      </c>
      <c r="H25" s="8">
        <f t="shared" si="16"/>
        <v>4197.3768345599992</v>
      </c>
      <c r="I25" s="8">
        <f t="shared" si="16"/>
        <v>3757.2137164799997</v>
      </c>
      <c r="J25" s="8">
        <f t="shared" si="16"/>
        <v>3513.4191052799997</v>
      </c>
      <c r="K25" s="8">
        <f t="shared" si="16"/>
        <v>3444.7789823999992</v>
      </c>
      <c r="L25" s="8">
        <f t="shared" si="16"/>
        <v>3416.1233971199995</v>
      </c>
      <c r="M25" s="8">
        <f t="shared" si="16"/>
        <v>3498.5359718399995</v>
      </c>
      <c r="N25" s="8">
        <f t="shared" si="16"/>
        <v>3731.8901759999994</v>
      </c>
      <c r="O25" s="8">
        <f t="shared" si="16"/>
        <v>3811.0817740799994</v>
      </c>
      <c r="P25" s="8">
        <f t="shared" si="16"/>
        <v>3788.8681420799999</v>
      </c>
      <c r="Q25" s="8">
        <f t="shared" si="16"/>
        <v>3926.4815923199994</v>
      </c>
      <c r="S25" s="15"/>
      <c r="U25">
        <v>20</v>
      </c>
      <c r="V25" t="s">
        <v>19</v>
      </c>
      <c r="W25">
        <v>2029</v>
      </c>
      <c r="X25">
        <f t="shared" si="0"/>
        <v>22.434747889573352</v>
      </c>
      <c r="Y25">
        <v>196663</v>
      </c>
    </row>
    <row r="26" spans="3:25" x14ac:dyDescent="0.3">
      <c r="U26">
        <v>21</v>
      </c>
      <c r="V26" t="s">
        <v>19</v>
      </c>
      <c r="W26">
        <v>2030</v>
      </c>
      <c r="X26">
        <f t="shared" si="0"/>
        <v>22.684804928131417</v>
      </c>
      <c r="Y26">
        <v>198855</v>
      </c>
    </row>
    <row r="27" spans="3:25" x14ac:dyDescent="0.3">
      <c r="C27" t="s">
        <v>30</v>
      </c>
      <c r="D27" t="s">
        <v>31</v>
      </c>
      <c r="E27" t="s">
        <v>32</v>
      </c>
      <c r="F27" t="s">
        <v>33</v>
      </c>
      <c r="G27" t="s">
        <v>34</v>
      </c>
      <c r="H27" s="8"/>
      <c r="I27" s="8"/>
      <c r="J27" s="8"/>
      <c r="K27" s="8"/>
      <c r="L27" s="8"/>
      <c r="M27" s="8"/>
      <c r="N27" s="8"/>
      <c r="O27" s="8"/>
      <c r="P27" s="8"/>
      <c r="Q27" s="8"/>
      <c r="U27">
        <v>22</v>
      </c>
      <c r="V27" t="s">
        <v>19</v>
      </c>
      <c r="W27">
        <v>2031</v>
      </c>
      <c r="X27">
        <f t="shared" si="0"/>
        <v>22.995665069587041</v>
      </c>
      <c r="Y27">
        <v>201580</v>
      </c>
    </row>
    <row r="28" spans="3:25" x14ac:dyDescent="0.3">
      <c r="C28" s="1">
        <v>45292</v>
      </c>
      <c r="D28" s="3">
        <v>1.37E-2</v>
      </c>
      <c r="E28" s="3">
        <v>0.36349999999999999</v>
      </c>
      <c r="F28" s="3">
        <v>0.46920000000000001</v>
      </c>
      <c r="G28" s="3">
        <v>0.15359999999999999</v>
      </c>
      <c r="H28" s="8"/>
      <c r="I28" s="8"/>
      <c r="J28" s="10" t="s">
        <v>25</v>
      </c>
      <c r="K28" t="s">
        <v>50</v>
      </c>
      <c r="L28" t="s">
        <v>51</v>
      </c>
      <c r="M28" t="s">
        <v>52</v>
      </c>
      <c r="N28" t="s">
        <v>53</v>
      </c>
      <c r="O28" s="8"/>
      <c r="P28" s="8"/>
      <c r="Q28" s="8"/>
      <c r="U28">
        <v>23</v>
      </c>
      <c r="V28" t="s">
        <v>19</v>
      </c>
      <c r="W28">
        <v>2032</v>
      </c>
      <c r="X28">
        <f t="shared" si="0"/>
        <v>23.33504449007529</v>
      </c>
      <c r="Y28">
        <v>204555</v>
      </c>
    </row>
    <row r="29" spans="3:25" x14ac:dyDescent="0.3">
      <c r="C29" s="1">
        <v>45323</v>
      </c>
      <c r="D29" s="3">
        <v>1.37E-2</v>
      </c>
      <c r="E29" s="3">
        <v>0.36980000000000002</v>
      </c>
      <c r="F29" s="3">
        <v>0.49059999999999998</v>
      </c>
      <c r="G29" s="3">
        <v>0.12590000000000001</v>
      </c>
      <c r="H29" s="8"/>
      <c r="I29" s="8"/>
      <c r="J29" s="11" t="s">
        <v>35</v>
      </c>
      <c r="K29" s="14">
        <v>1.3699999999999999E-2</v>
      </c>
      <c r="L29" s="14">
        <v>0.33056666666666668</v>
      </c>
      <c r="M29" s="14">
        <v>0.48035</v>
      </c>
      <c r="N29" s="14">
        <v>0.17538333333333334</v>
      </c>
      <c r="O29" s="8"/>
      <c r="P29" s="8"/>
      <c r="Q29" s="8"/>
      <c r="U29">
        <v>24</v>
      </c>
      <c r="V29" t="s">
        <v>19</v>
      </c>
      <c r="W29">
        <v>2033</v>
      </c>
      <c r="X29">
        <f t="shared" si="0"/>
        <v>23.700205338809035</v>
      </c>
      <c r="Y29">
        <v>207756</v>
      </c>
    </row>
    <row r="30" spans="3:25" x14ac:dyDescent="0.3">
      <c r="C30" s="1">
        <v>45352</v>
      </c>
      <c r="D30" s="3">
        <v>1.37E-2</v>
      </c>
      <c r="E30" s="3">
        <v>0.32400000000000001</v>
      </c>
      <c r="F30" s="3">
        <v>0.49259999999999998</v>
      </c>
      <c r="G30" s="3">
        <v>0.16969999999999999</v>
      </c>
      <c r="H30" s="8"/>
      <c r="I30" s="8"/>
      <c r="J30" s="11" t="s">
        <v>36</v>
      </c>
      <c r="K30" s="14">
        <v>1.3699999999999999E-2</v>
      </c>
      <c r="L30" s="14">
        <v>0.33115</v>
      </c>
      <c r="M30" s="14">
        <v>0.48067500000000002</v>
      </c>
      <c r="N30" s="14">
        <v>0.17447500000000002</v>
      </c>
      <c r="O30" s="8"/>
      <c r="P30" s="8"/>
      <c r="Q30" s="8"/>
      <c r="U30">
        <v>25</v>
      </c>
      <c r="V30" t="s">
        <v>19</v>
      </c>
      <c r="W30">
        <v>2034</v>
      </c>
      <c r="X30">
        <f t="shared" si="0"/>
        <v>24.103353867214238</v>
      </c>
      <c r="Y30">
        <v>211290</v>
      </c>
    </row>
    <row r="31" spans="3:25" x14ac:dyDescent="0.3">
      <c r="C31" s="1">
        <v>45383</v>
      </c>
      <c r="D31" s="3">
        <v>1.37E-2</v>
      </c>
      <c r="E31" s="3">
        <v>0.33889999999999998</v>
      </c>
      <c r="F31" s="3">
        <v>0.48799999999999999</v>
      </c>
      <c r="G31" s="3">
        <v>0.15939999999999999</v>
      </c>
      <c r="H31" s="8"/>
      <c r="I31" s="8"/>
      <c r="J31" s="11" t="s">
        <v>37</v>
      </c>
      <c r="K31" s="14">
        <v>1.3699999999999999E-2</v>
      </c>
      <c r="L31" s="14">
        <v>0.33188333333333336</v>
      </c>
      <c r="M31" s="14">
        <v>0.4751083333333333</v>
      </c>
      <c r="N31" s="14">
        <v>0.17930833333333332</v>
      </c>
      <c r="O31" s="8"/>
      <c r="P31" s="8"/>
      <c r="Q31" s="8"/>
      <c r="U31">
        <v>26</v>
      </c>
      <c r="V31" t="s">
        <v>19</v>
      </c>
      <c r="W31">
        <v>2035</v>
      </c>
      <c r="X31">
        <f t="shared" si="0"/>
        <v>24.528519279032626</v>
      </c>
      <c r="Y31">
        <v>215017</v>
      </c>
    </row>
    <row r="32" spans="3:25" x14ac:dyDescent="0.3">
      <c r="C32" s="1">
        <v>45413</v>
      </c>
      <c r="D32" s="3">
        <v>1.37E-2</v>
      </c>
      <c r="E32" s="3">
        <v>0.31680000000000003</v>
      </c>
      <c r="F32" s="3">
        <v>0.41949999999999998</v>
      </c>
      <c r="G32" s="3">
        <v>0.25</v>
      </c>
      <c r="H32" s="8"/>
      <c r="I32" s="8"/>
      <c r="J32" s="11" t="s">
        <v>38</v>
      </c>
      <c r="K32" s="14">
        <v>1.3699999999999999E-2</v>
      </c>
      <c r="L32" s="14">
        <v>0.33288333333333336</v>
      </c>
      <c r="M32" s="14">
        <v>0.47444166666666659</v>
      </c>
      <c r="N32" s="14">
        <v>0.17897500000000002</v>
      </c>
      <c r="O32" s="8"/>
      <c r="P32" s="8"/>
      <c r="Q32" s="8"/>
      <c r="U32">
        <v>27</v>
      </c>
      <c r="V32" t="s">
        <v>19</v>
      </c>
      <c r="W32">
        <v>2036</v>
      </c>
      <c r="X32">
        <f t="shared" si="0"/>
        <v>25.014145562400184</v>
      </c>
      <c r="Y32">
        <v>219274</v>
      </c>
    </row>
    <row r="33" spans="3:25" x14ac:dyDescent="0.3">
      <c r="C33" s="1">
        <v>45444</v>
      </c>
      <c r="D33" s="3">
        <v>1.37E-2</v>
      </c>
      <c r="E33" s="3">
        <v>0.30509999999999998</v>
      </c>
      <c r="F33" s="3">
        <v>0.51390000000000002</v>
      </c>
      <c r="G33" s="3">
        <v>0.1673</v>
      </c>
      <c r="J33" s="11" t="s">
        <v>39</v>
      </c>
      <c r="K33" s="14">
        <v>1.3699999999999999E-2</v>
      </c>
      <c r="L33" s="14">
        <v>0.33431666666666665</v>
      </c>
      <c r="M33" s="14">
        <v>0.47569166666666668</v>
      </c>
      <c r="N33" s="14">
        <v>0.17629166666666665</v>
      </c>
      <c r="U33">
        <v>28</v>
      </c>
      <c r="V33" t="s">
        <v>19</v>
      </c>
      <c r="W33">
        <v>2037</v>
      </c>
      <c r="X33">
        <f t="shared" si="0"/>
        <v>25.555555555555557</v>
      </c>
      <c r="Y33">
        <v>224020</v>
      </c>
    </row>
    <row r="34" spans="3:25" x14ac:dyDescent="0.3">
      <c r="C34" s="1">
        <v>45474</v>
      </c>
      <c r="D34" s="3">
        <v>1.37E-2</v>
      </c>
      <c r="E34" s="3">
        <v>0.30249999999999999</v>
      </c>
      <c r="F34" s="3">
        <v>0.51729999999999998</v>
      </c>
      <c r="G34" s="3">
        <v>0.16650000000000001</v>
      </c>
      <c r="J34" s="11" t="s">
        <v>40</v>
      </c>
      <c r="K34" s="14">
        <v>1.3699999999999999E-2</v>
      </c>
      <c r="L34" s="14">
        <v>0.33539166666666659</v>
      </c>
      <c r="M34" s="14">
        <v>0.47460833333333335</v>
      </c>
      <c r="N34" s="14">
        <v>0.17629999999999998</v>
      </c>
      <c r="U34">
        <v>29</v>
      </c>
      <c r="V34" t="s">
        <v>19</v>
      </c>
      <c r="W34">
        <v>2038</v>
      </c>
      <c r="X34">
        <f t="shared" si="0"/>
        <v>26.134953228382386</v>
      </c>
      <c r="Y34">
        <v>229099</v>
      </c>
    </row>
    <row r="35" spans="3:25" x14ac:dyDescent="0.3">
      <c r="C35" s="1">
        <v>45505</v>
      </c>
      <c r="D35" s="3">
        <v>1.37E-2</v>
      </c>
      <c r="E35" s="3">
        <v>0.30659999999999998</v>
      </c>
      <c r="F35" s="3">
        <v>0.52649999999999997</v>
      </c>
      <c r="G35" s="3">
        <v>0.1532</v>
      </c>
      <c r="J35" s="11" t="s">
        <v>41</v>
      </c>
      <c r="K35" s="14">
        <v>1.3699999999999999E-2</v>
      </c>
      <c r="L35" s="14">
        <v>0.33644166666666669</v>
      </c>
      <c r="M35" s="14">
        <v>0.47457499999999997</v>
      </c>
      <c r="N35" s="14">
        <v>0.17528333333333335</v>
      </c>
      <c r="U35">
        <v>30</v>
      </c>
      <c r="V35" t="s">
        <v>20</v>
      </c>
      <c r="W35">
        <v>2024</v>
      </c>
      <c r="X35">
        <f t="shared" si="0"/>
        <v>13.879534565366187</v>
      </c>
      <c r="Y35">
        <v>121668</v>
      </c>
    </row>
    <row r="36" spans="3:25" x14ac:dyDescent="0.3">
      <c r="C36" s="1">
        <v>45536</v>
      </c>
      <c r="D36" s="3">
        <v>1.37E-2</v>
      </c>
      <c r="E36" s="3">
        <v>0.32179999999999997</v>
      </c>
      <c r="F36" s="3">
        <v>0.49509999999999998</v>
      </c>
      <c r="G36" s="3">
        <v>0.1694</v>
      </c>
      <c r="J36" s="11" t="s">
        <v>42</v>
      </c>
      <c r="K36" s="14">
        <v>1.3699999999999999E-2</v>
      </c>
      <c r="L36" s="14">
        <v>0.33750833333333335</v>
      </c>
      <c r="M36" s="14">
        <v>0.47548333333333331</v>
      </c>
      <c r="N36" s="14">
        <v>0.17330833333333331</v>
      </c>
      <c r="U36">
        <v>31</v>
      </c>
      <c r="V36" t="s">
        <v>20</v>
      </c>
      <c r="W36">
        <v>2025</v>
      </c>
      <c r="X36">
        <f t="shared" si="0"/>
        <v>14.189025781428246</v>
      </c>
      <c r="Y36">
        <v>124381</v>
      </c>
    </row>
    <row r="37" spans="3:25" x14ac:dyDescent="0.3">
      <c r="C37" s="1">
        <v>45566</v>
      </c>
      <c r="D37" s="3">
        <v>1.37E-2</v>
      </c>
      <c r="E37" s="3">
        <v>0.34410000000000002</v>
      </c>
      <c r="F37" s="3">
        <v>0.4456</v>
      </c>
      <c r="G37" s="3">
        <v>0.1966</v>
      </c>
      <c r="J37" s="11" t="s">
        <v>43</v>
      </c>
      <c r="K37" s="14">
        <v>1.3699999999999999E-2</v>
      </c>
      <c r="L37" s="14">
        <v>0.33922500000000005</v>
      </c>
      <c r="M37" s="14">
        <v>0.47866666666666674</v>
      </c>
      <c r="N37" s="14">
        <v>0.16840833333333335</v>
      </c>
      <c r="U37">
        <v>32</v>
      </c>
      <c r="V37" t="s">
        <v>20</v>
      </c>
      <c r="W37">
        <v>2026</v>
      </c>
      <c r="X37">
        <f t="shared" si="0"/>
        <v>14.669404517453799</v>
      </c>
      <c r="Y37">
        <v>128592</v>
      </c>
    </row>
    <row r="38" spans="3:25" x14ac:dyDescent="0.3">
      <c r="C38" s="1">
        <v>45597</v>
      </c>
      <c r="D38" s="3">
        <v>1.37E-2</v>
      </c>
      <c r="E38" s="3">
        <v>0.34889999999999999</v>
      </c>
      <c r="F38" s="3">
        <v>0.45540000000000003</v>
      </c>
      <c r="G38" s="3">
        <v>0.182</v>
      </c>
      <c r="J38" s="11" t="s">
        <v>44</v>
      </c>
      <c r="K38" s="14">
        <v>1.3699999999999999E-2</v>
      </c>
      <c r="L38" s="14">
        <v>0.33966666666666673</v>
      </c>
      <c r="M38" s="14">
        <v>0.47950833333333326</v>
      </c>
      <c r="N38" s="14">
        <v>0.167125</v>
      </c>
      <c r="U38">
        <v>33</v>
      </c>
      <c r="V38" t="s">
        <v>20</v>
      </c>
      <c r="W38">
        <v>2027</v>
      </c>
      <c r="X38">
        <f t="shared" si="0"/>
        <v>15.204996577686517</v>
      </c>
      <c r="Y38">
        <v>133287</v>
      </c>
    </row>
    <row r="39" spans="3:25" x14ac:dyDescent="0.3">
      <c r="C39" s="1">
        <v>45627</v>
      </c>
      <c r="D39" s="3">
        <v>1.37E-2</v>
      </c>
      <c r="E39" s="3">
        <v>0.32479999999999998</v>
      </c>
      <c r="F39" s="3">
        <v>0.45050000000000001</v>
      </c>
      <c r="G39" s="3">
        <v>0.21099999999999999</v>
      </c>
      <c r="J39" s="11" t="s">
        <v>45</v>
      </c>
      <c r="K39" s="14">
        <v>1.3699999999999999E-2</v>
      </c>
      <c r="L39" s="14">
        <v>0.34071666666666672</v>
      </c>
      <c r="M39" s="14">
        <v>0.48171666666666663</v>
      </c>
      <c r="N39" s="14">
        <v>0.16386666666666663</v>
      </c>
      <c r="U39">
        <v>34</v>
      </c>
      <c r="V39" t="s">
        <v>20</v>
      </c>
      <c r="W39">
        <v>2028</v>
      </c>
      <c r="X39">
        <f t="shared" si="0"/>
        <v>15.82569016655259</v>
      </c>
      <c r="Y39">
        <v>138728</v>
      </c>
    </row>
    <row r="40" spans="3:25" x14ac:dyDescent="0.3">
      <c r="C40" s="1">
        <v>45658</v>
      </c>
      <c r="D40" s="3">
        <v>1.37E-2</v>
      </c>
      <c r="E40" s="3">
        <v>0.3629</v>
      </c>
      <c r="F40" s="3">
        <v>0.48149999999999998</v>
      </c>
      <c r="G40" s="3">
        <v>0.1419</v>
      </c>
      <c r="J40" s="11" t="s">
        <v>46</v>
      </c>
      <c r="K40" s="14">
        <v>1.3699999999999999E-2</v>
      </c>
      <c r="L40" s="14">
        <v>0.34160000000000007</v>
      </c>
      <c r="M40" s="14">
        <v>0.48371666666666657</v>
      </c>
      <c r="N40" s="14">
        <v>0.16098333333333334</v>
      </c>
      <c r="U40">
        <v>35</v>
      </c>
      <c r="V40" t="s">
        <v>20</v>
      </c>
      <c r="W40">
        <v>2029</v>
      </c>
      <c r="X40">
        <f t="shared" si="0"/>
        <v>16.472735569244808</v>
      </c>
      <c r="Y40">
        <v>144400</v>
      </c>
    </row>
    <row r="41" spans="3:25" x14ac:dyDescent="0.3">
      <c r="C41" s="1">
        <v>45689</v>
      </c>
      <c r="D41" s="3">
        <v>1.37E-2</v>
      </c>
      <c r="E41" s="3">
        <v>0.35670000000000002</v>
      </c>
      <c r="F41" s="3">
        <v>0.45860000000000001</v>
      </c>
      <c r="G41" s="3">
        <v>0.17100000000000001</v>
      </c>
      <c r="J41" s="11" t="s">
        <v>47</v>
      </c>
      <c r="K41" s="14">
        <v>1.3699999999999999E-2</v>
      </c>
      <c r="L41" s="14">
        <v>0.33190000000000003</v>
      </c>
      <c r="M41" s="14">
        <v>0.48249999999999993</v>
      </c>
      <c r="N41" s="14">
        <v>0.17190000000000003</v>
      </c>
      <c r="U41">
        <v>36</v>
      </c>
      <c r="V41" t="s">
        <v>20</v>
      </c>
      <c r="W41">
        <v>2030</v>
      </c>
      <c r="X41">
        <f t="shared" si="0"/>
        <v>17.125941136208077</v>
      </c>
      <c r="Y41">
        <v>150126</v>
      </c>
    </row>
    <row r="42" spans="3:25" x14ac:dyDescent="0.3">
      <c r="C42" s="1">
        <v>45717</v>
      </c>
      <c r="D42" s="3">
        <v>1.37E-2</v>
      </c>
      <c r="E42" s="3">
        <v>0.33289999999999997</v>
      </c>
      <c r="F42" s="3">
        <v>0.48759999999999998</v>
      </c>
      <c r="G42" s="3">
        <v>0.1658</v>
      </c>
      <c r="J42" s="11" t="s">
        <v>48</v>
      </c>
      <c r="K42" s="14">
        <v>1.3699999999999999E-2</v>
      </c>
      <c r="L42" s="14">
        <v>0.34339999999999998</v>
      </c>
      <c r="M42" s="14">
        <v>0.48777500000000001</v>
      </c>
      <c r="N42" s="14">
        <v>0.15512499999999999</v>
      </c>
      <c r="U42">
        <v>37</v>
      </c>
      <c r="V42" t="s">
        <v>20</v>
      </c>
      <c r="W42">
        <v>2031</v>
      </c>
      <c r="X42">
        <f t="shared" si="0"/>
        <v>17.822381930184804</v>
      </c>
      <c r="Y42">
        <v>156231</v>
      </c>
    </row>
    <row r="43" spans="3:25" x14ac:dyDescent="0.3">
      <c r="C43" s="1">
        <v>45748</v>
      </c>
      <c r="D43" s="3">
        <v>1.37E-2</v>
      </c>
      <c r="E43" s="3">
        <v>0.34</v>
      </c>
      <c r="F43" s="3">
        <v>0.50470000000000004</v>
      </c>
      <c r="G43" s="3">
        <v>0.1416</v>
      </c>
      <c r="J43" s="11" t="s">
        <v>49</v>
      </c>
      <c r="K43" s="14">
        <v>1.3699999999999999E-2</v>
      </c>
      <c r="L43" s="14">
        <v>0.34425</v>
      </c>
      <c r="M43" s="14">
        <v>0.48926666666666668</v>
      </c>
      <c r="N43" s="14">
        <v>0.1527833333333333</v>
      </c>
      <c r="U43">
        <v>38</v>
      </c>
      <c r="V43" t="s">
        <v>20</v>
      </c>
      <c r="W43">
        <v>2032</v>
      </c>
      <c r="X43">
        <f t="shared" si="0"/>
        <v>18.533082363677845</v>
      </c>
      <c r="Y43">
        <v>162461</v>
      </c>
    </row>
    <row r="44" spans="3:25" x14ac:dyDescent="0.3">
      <c r="C44" s="1">
        <v>45778</v>
      </c>
      <c r="D44" s="3">
        <v>1.37E-2</v>
      </c>
      <c r="E44" s="3">
        <v>0.3266</v>
      </c>
      <c r="F44" s="3">
        <v>0.48010000000000003</v>
      </c>
      <c r="G44" s="3">
        <v>0.17960000000000001</v>
      </c>
      <c r="J44" s="11" t="s">
        <v>24</v>
      </c>
      <c r="K44">
        <v>1.3700000000000033E-2</v>
      </c>
      <c r="L44">
        <v>0.33672666666666667</v>
      </c>
      <c r="M44">
        <v>0.47960555555555562</v>
      </c>
      <c r="N44">
        <v>0.16996777777777766</v>
      </c>
      <c r="U44">
        <v>39</v>
      </c>
      <c r="V44" t="s">
        <v>20</v>
      </c>
      <c r="W44">
        <v>2033</v>
      </c>
      <c r="X44">
        <f t="shared" si="0"/>
        <v>19.300365046771617</v>
      </c>
      <c r="Y44">
        <v>169187</v>
      </c>
    </row>
    <row r="45" spans="3:25" x14ac:dyDescent="0.3">
      <c r="C45" s="1">
        <v>45809</v>
      </c>
      <c r="D45" s="3">
        <v>1.37E-2</v>
      </c>
      <c r="E45" s="3">
        <v>0.30590000000000001</v>
      </c>
      <c r="F45" s="3">
        <v>0.51049999999999995</v>
      </c>
      <c r="G45" s="3">
        <v>0.1699</v>
      </c>
      <c r="U45">
        <v>40</v>
      </c>
      <c r="V45" t="s">
        <v>20</v>
      </c>
      <c r="W45">
        <v>2034</v>
      </c>
      <c r="X45">
        <f t="shared" si="0"/>
        <v>20.083390371891397</v>
      </c>
      <c r="Y45">
        <v>176051</v>
      </c>
    </row>
    <row r="46" spans="3:25" x14ac:dyDescent="0.3">
      <c r="C46" s="1">
        <v>45839</v>
      </c>
      <c r="D46" s="3">
        <v>1.37E-2</v>
      </c>
      <c r="E46" s="3">
        <v>0.3009</v>
      </c>
      <c r="F46" s="3">
        <v>0.50309999999999999</v>
      </c>
      <c r="G46" s="3">
        <v>0.18229999999999999</v>
      </c>
      <c r="J46" s="11" t="s">
        <v>59</v>
      </c>
      <c r="K46">
        <f>K44*'Pu media'!I73</f>
        <v>1.8851600126984173E-2</v>
      </c>
      <c r="L46">
        <f>L44*'Pu media'!J73</f>
        <v>0.38417292383862434</v>
      </c>
      <c r="M46">
        <f>M44*'Pu media'!K73</f>
        <v>0.45991557785581999</v>
      </c>
      <c r="N46">
        <f>N44*'Pu media'!L73</f>
        <v>0.13688729991604931</v>
      </c>
      <c r="U46">
        <v>41</v>
      </c>
      <c r="V46" t="s">
        <v>20</v>
      </c>
      <c r="W46">
        <v>2035</v>
      </c>
      <c r="X46">
        <f t="shared" si="0"/>
        <v>20.854209445585216</v>
      </c>
      <c r="Y46">
        <v>182808</v>
      </c>
    </row>
    <row r="47" spans="3:25" x14ac:dyDescent="0.3">
      <c r="C47" s="1">
        <v>45870</v>
      </c>
      <c r="D47" s="3">
        <v>1.37E-2</v>
      </c>
      <c r="E47" s="3">
        <v>0.30499999999999999</v>
      </c>
      <c r="F47" s="3">
        <v>0.5181</v>
      </c>
      <c r="G47" s="3">
        <v>0.16320000000000001</v>
      </c>
      <c r="U47">
        <v>42</v>
      </c>
      <c r="V47" t="s">
        <v>20</v>
      </c>
      <c r="W47">
        <v>2036</v>
      </c>
      <c r="X47">
        <f t="shared" si="0"/>
        <v>21.688797627195985</v>
      </c>
      <c r="Y47">
        <v>190124</v>
      </c>
    </row>
    <row r="48" spans="3:25" x14ac:dyDescent="0.3">
      <c r="C48" s="1">
        <v>45901</v>
      </c>
      <c r="D48" s="3">
        <v>1.37E-2</v>
      </c>
      <c r="E48" s="3">
        <v>0.32079999999999997</v>
      </c>
      <c r="F48" s="3">
        <v>0.47910000000000003</v>
      </c>
      <c r="G48" s="3">
        <v>0.18640000000000001</v>
      </c>
      <c r="J48" s="17">
        <v>1.3700000000000033E-2</v>
      </c>
      <c r="K48" cm="1">
        <f t="array" ref="K48:K51">TRANSPOSE(K46:N46)</f>
        <v>1.8851600126984173E-2</v>
      </c>
      <c r="U48">
        <v>43</v>
      </c>
      <c r="V48" t="s">
        <v>20</v>
      </c>
      <c r="W48">
        <v>2037</v>
      </c>
      <c r="X48">
        <f t="shared" si="0"/>
        <v>22.546315309148984</v>
      </c>
      <c r="Y48">
        <v>197641</v>
      </c>
    </row>
    <row r="49" spans="3:25" x14ac:dyDescent="0.3">
      <c r="C49" s="1">
        <v>45931</v>
      </c>
      <c r="D49" s="3">
        <v>1.37E-2</v>
      </c>
      <c r="E49" s="3">
        <v>0.34329999999999999</v>
      </c>
      <c r="F49" s="3">
        <v>0.44690000000000002</v>
      </c>
      <c r="G49" s="3">
        <v>0.1961</v>
      </c>
      <c r="J49" s="17">
        <v>0.33672666666666667</v>
      </c>
      <c r="K49">
        <v>0.38417292383862434</v>
      </c>
      <c r="U49">
        <v>44</v>
      </c>
      <c r="V49" t="s">
        <v>20</v>
      </c>
      <c r="W49">
        <v>2038</v>
      </c>
      <c r="X49">
        <f t="shared" si="0"/>
        <v>23.364704540269223</v>
      </c>
      <c r="Y49">
        <v>204815</v>
      </c>
    </row>
    <row r="50" spans="3:25" x14ac:dyDescent="0.3">
      <c r="C50" s="1">
        <v>45962</v>
      </c>
      <c r="D50" s="3">
        <v>1.37E-2</v>
      </c>
      <c r="E50" s="3">
        <v>0.35089999999999999</v>
      </c>
      <c r="F50" s="3">
        <v>0.4511</v>
      </c>
      <c r="G50" s="3">
        <v>0.18429999999999999</v>
      </c>
      <c r="J50" s="17">
        <v>0.47960555555555562</v>
      </c>
      <c r="K50">
        <v>0.45991557785581999</v>
      </c>
      <c r="U50">
        <v>45</v>
      </c>
      <c r="V50" t="s">
        <v>17</v>
      </c>
      <c r="W50">
        <v>2024</v>
      </c>
      <c r="X50">
        <f t="shared" si="0"/>
        <v>50.312571298197582</v>
      </c>
      <c r="Y50">
        <v>441040</v>
      </c>
    </row>
    <row r="51" spans="3:25" x14ac:dyDescent="0.3">
      <c r="C51" s="1">
        <v>45992</v>
      </c>
      <c r="D51" s="3">
        <v>1.37E-2</v>
      </c>
      <c r="E51" s="3">
        <v>0.32790000000000002</v>
      </c>
      <c r="F51" s="3">
        <v>0.44679999999999997</v>
      </c>
      <c r="G51" s="3">
        <v>0.21160000000000001</v>
      </c>
      <c r="J51" s="17">
        <v>0.16996777777777766</v>
      </c>
      <c r="K51">
        <v>0.13688729991604931</v>
      </c>
      <c r="U51">
        <v>46</v>
      </c>
      <c r="V51" t="s">
        <v>17</v>
      </c>
      <c r="W51">
        <v>2025</v>
      </c>
      <c r="X51">
        <f t="shared" si="0"/>
        <v>50.925507643166782</v>
      </c>
      <c r="Y51">
        <v>446413</v>
      </c>
    </row>
    <row r="52" spans="3:25" x14ac:dyDescent="0.3">
      <c r="C52" s="1">
        <v>46023</v>
      </c>
      <c r="D52" s="3">
        <v>1.37E-2</v>
      </c>
      <c r="E52" s="3">
        <v>0.36749999999999999</v>
      </c>
      <c r="F52" s="3">
        <v>0.48270000000000002</v>
      </c>
      <c r="G52" s="3">
        <v>0.1361</v>
      </c>
      <c r="U52">
        <v>47</v>
      </c>
      <c r="V52" t="s">
        <v>17</v>
      </c>
      <c r="W52">
        <v>2026</v>
      </c>
      <c r="X52">
        <f t="shared" si="0"/>
        <v>52.42961441934748</v>
      </c>
      <c r="Y52">
        <v>459598</v>
      </c>
    </row>
    <row r="53" spans="3:25" x14ac:dyDescent="0.3">
      <c r="C53" s="1">
        <v>46054</v>
      </c>
      <c r="D53" s="3">
        <v>1.37E-2</v>
      </c>
      <c r="E53" s="3">
        <v>0.35410000000000003</v>
      </c>
      <c r="F53" s="3">
        <v>0.44080000000000003</v>
      </c>
      <c r="G53" s="3">
        <v>0.19139999999999999</v>
      </c>
      <c r="U53">
        <v>48</v>
      </c>
      <c r="V53" t="s">
        <v>17</v>
      </c>
      <c r="W53">
        <v>2027</v>
      </c>
      <c r="X53">
        <f t="shared" si="0"/>
        <v>54.183093771389458</v>
      </c>
      <c r="Y53">
        <v>474969</v>
      </c>
    </row>
    <row r="54" spans="3:25" x14ac:dyDescent="0.3">
      <c r="C54" s="1">
        <v>46082</v>
      </c>
      <c r="D54" s="3">
        <v>1.37E-2</v>
      </c>
      <c r="E54" s="3">
        <v>0.33579999999999999</v>
      </c>
      <c r="F54" s="3">
        <v>0.48199999999999998</v>
      </c>
      <c r="G54" s="3">
        <v>0.16850000000000001</v>
      </c>
      <c r="U54">
        <v>49</v>
      </c>
      <c r="V54" t="s">
        <v>17</v>
      </c>
      <c r="W54">
        <v>2028</v>
      </c>
      <c r="X54">
        <f t="shared" si="0"/>
        <v>56.141341546885698</v>
      </c>
      <c r="Y54">
        <v>492135</v>
      </c>
    </row>
    <row r="55" spans="3:25" x14ac:dyDescent="0.3">
      <c r="C55" s="1">
        <v>46113</v>
      </c>
      <c r="D55" s="3">
        <v>1.37E-2</v>
      </c>
      <c r="E55" s="3">
        <v>0.34079999999999999</v>
      </c>
      <c r="F55" s="3">
        <v>0.50209999999999999</v>
      </c>
      <c r="G55" s="3">
        <v>0.1434</v>
      </c>
      <c r="U55">
        <v>50</v>
      </c>
      <c r="V55" t="s">
        <v>17</v>
      </c>
      <c r="W55">
        <v>2029</v>
      </c>
      <c r="X55">
        <f t="shared" si="0"/>
        <v>58.090691307323752</v>
      </c>
      <c r="Y55">
        <v>509223</v>
      </c>
    </row>
    <row r="56" spans="3:25" x14ac:dyDescent="0.3">
      <c r="C56" s="1">
        <v>46143</v>
      </c>
      <c r="D56" s="3">
        <v>1.37E-2</v>
      </c>
      <c r="E56" s="3">
        <v>0.32769999999999999</v>
      </c>
      <c r="F56" s="3">
        <v>0.49199999999999999</v>
      </c>
      <c r="G56" s="3">
        <v>0.1666</v>
      </c>
      <c r="U56">
        <v>51</v>
      </c>
      <c r="V56" t="s">
        <v>17</v>
      </c>
      <c r="W56">
        <v>2030</v>
      </c>
      <c r="X56">
        <f t="shared" si="0"/>
        <v>60.084074834588179</v>
      </c>
      <c r="Y56">
        <v>526697</v>
      </c>
    </row>
    <row r="57" spans="3:25" x14ac:dyDescent="0.3">
      <c r="C57" s="1">
        <v>46174</v>
      </c>
      <c r="D57" s="3">
        <v>1.37E-2</v>
      </c>
      <c r="E57" s="3">
        <v>0.30630000000000002</v>
      </c>
      <c r="F57" s="3">
        <v>0.50319999999999998</v>
      </c>
      <c r="G57" s="3">
        <v>0.17680000000000001</v>
      </c>
      <c r="U57">
        <v>52</v>
      </c>
      <c r="V57" t="s">
        <v>17</v>
      </c>
      <c r="W57">
        <v>2031</v>
      </c>
      <c r="X57">
        <f t="shared" si="0"/>
        <v>62.253479352041978</v>
      </c>
      <c r="Y57">
        <v>545714</v>
      </c>
    </row>
    <row r="58" spans="3:25" x14ac:dyDescent="0.3">
      <c r="C58" s="1">
        <v>46204</v>
      </c>
      <c r="D58" s="3">
        <v>1.37E-2</v>
      </c>
      <c r="E58" s="3">
        <v>0.2984</v>
      </c>
      <c r="F58" s="3">
        <v>0.49099999999999999</v>
      </c>
      <c r="G58" s="3">
        <v>0.19689999999999999</v>
      </c>
      <c r="U58">
        <v>53</v>
      </c>
      <c r="V58" t="s">
        <v>17</v>
      </c>
      <c r="W58">
        <v>2032</v>
      </c>
      <c r="X58">
        <f t="shared" si="0"/>
        <v>64.476386036960989</v>
      </c>
      <c r="Y58">
        <v>565200</v>
      </c>
    </row>
    <row r="59" spans="3:25" x14ac:dyDescent="0.3">
      <c r="C59" s="1">
        <v>46235</v>
      </c>
      <c r="D59" s="3">
        <v>1.37E-2</v>
      </c>
      <c r="E59" s="3">
        <v>0.30480000000000002</v>
      </c>
      <c r="F59" s="3">
        <v>0.50880000000000003</v>
      </c>
      <c r="G59" s="3">
        <v>0.17269999999999999</v>
      </c>
      <c r="U59">
        <v>54</v>
      </c>
      <c r="V59" t="s">
        <v>17</v>
      </c>
      <c r="W59">
        <v>2033</v>
      </c>
      <c r="X59">
        <f t="shared" si="0"/>
        <v>66.846566278804474</v>
      </c>
      <c r="Y59">
        <v>585977</v>
      </c>
    </row>
    <row r="60" spans="3:25" x14ac:dyDescent="0.3">
      <c r="C60" s="1">
        <v>46266</v>
      </c>
      <c r="D60" s="3">
        <v>1.37E-2</v>
      </c>
      <c r="E60" s="3">
        <v>0.31950000000000001</v>
      </c>
      <c r="F60" s="3">
        <v>0.4667</v>
      </c>
      <c r="G60" s="3">
        <v>0.2001</v>
      </c>
      <c r="U60">
        <v>55</v>
      </c>
      <c r="V60" t="s">
        <v>17</v>
      </c>
      <c r="W60">
        <v>2034</v>
      </c>
      <c r="X60">
        <f t="shared" si="0"/>
        <v>69.293406342687661</v>
      </c>
      <c r="Y60">
        <v>607426</v>
      </c>
    </row>
    <row r="61" spans="3:25" x14ac:dyDescent="0.3">
      <c r="C61" s="1">
        <v>46296</v>
      </c>
      <c r="D61" s="3">
        <v>1.37E-2</v>
      </c>
      <c r="E61" s="3">
        <v>0.34389999999999998</v>
      </c>
      <c r="F61" s="3">
        <v>0.44290000000000002</v>
      </c>
      <c r="G61" s="3">
        <v>0.19950000000000001</v>
      </c>
      <c r="U61">
        <v>56</v>
      </c>
      <c r="V61" t="s">
        <v>17</v>
      </c>
      <c r="W61">
        <v>2035</v>
      </c>
      <c r="X61">
        <f t="shared" si="0"/>
        <v>71.818503308236373</v>
      </c>
      <c r="Y61">
        <v>629561</v>
      </c>
    </row>
    <row r="62" spans="3:25" x14ac:dyDescent="0.3">
      <c r="C62" s="1">
        <v>46327</v>
      </c>
      <c r="D62" s="3">
        <v>1.37E-2</v>
      </c>
      <c r="E62" s="3">
        <v>0.3528</v>
      </c>
      <c r="F62" s="3">
        <v>0.44740000000000002</v>
      </c>
      <c r="G62" s="3">
        <v>0.18609999999999999</v>
      </c>
      <c r="U62">
        <v>57</v>
      </c>
      <c r="V62" t="s">
        <v>17</v>
      </c>
      <c r="W62">
        <v>2036</v>
      </c>
      <c r="X62">
        <f t="shared" si="0"/>
        <v>74.431895961670094</v>
      </c>
      <c r="Y62">
        <v>652470</v>
      </c>
    </row>
    <row r="63" spans="3:25" x14ac:dyDescent="0.3">
      <c r="C63" s="1">
        <v>46357</v>
      </c>
      <c r="D63" s="3">
        <v>1.37E-2</v>
      </c>
      <c r="E63" s="3">
        <v>0.33100000000000002</v>
      </c>
      <c r="F63" s="3">
        <v>0.44169999999999998</v>
      </c>
      <c r="G63" s="3">
        <v>0.21360000000000001</v>
      </c>
      <c r="U63">
        <v>58</v>
      </c>
      <c r="V63" t="s">
        <v>17</v>
      </c>
      <c r="W63">
        <v>2037</v>
      </c>
      <c r="X63">
        <f t="shared" si="0"/>
        <v>77.11419119324664</v>
      </c>
      <c r="Y63">
        <v>675983</v>
      </c>
    </row>
    <row r="64" spans="3:25" x14ac:dyDescent="0.3">
      <c r="C64" s="1">
        <v>46388</v>
      </c>
      <c r="D64" s="3">
        <v>1.37E-2</v>
      </c>
      <c r="E64" s="3">
        <v>0.36899999999999999</v>
      </c>
      <c r="F64" s="3">
        <v>0.4824</v>
      </c>
      <c r="G64" s="3">
        <v>0.13489999999999999</v>
      </c>
      <c r="U64">
        <v>59</v>
      </c>
      <c r="V64" t="s">
        <v>17</v>
      </c>
      <c r="W64">
        <v>2038</v>
      </c>
      <c r="X64">
        <f t="shared" si="0"/>
        <v>79.805612594113626</v>
      </c>
      <c r="Y64">
        <v>699576</v>
      </c>
    </row>
    <row r="65" spans="3:7" x14ac:dyDescent="0.3">
      <c r="C65" s="1">
        <v>46419</v>
      </c>
      <c r="D65" s="3">
        <v>1.37E-2</v>
      </c>
      <c r="E65" s="3">
        <v>0.35410000000000003</v>
      </c>
      <c r="F65" s="3">
        <v>0.436</v>
      </c>
      <c r="G65" s="3">
        <v>0.19620000000000001</v>
      </c>
    </row>
    <row r="66" spans="3:7" x14ac:dyDescent="0.3">
      <c r="C66" s="1">
        <v>46447</v>
      </c>
      <c r="D66" s="3">
        <v>1.37E-2</v>
      </c>
      <c r="E66" s="3">
        <v>0.3372</v>
      </c>
      <c r="F66" s="3">
        <v>0.48060000000000003</v>
      </c>
      <c r="G66" s="3">
        <v>0.16850000000000001</v>
      </c>
    </row>
    <row r="67" spans="3:7" x14ac:dyDescent="0.3">
      <c r="C67" s="1">
        <v>46478</v>
      </c>
      <c r="D67" s="3">
        <v>1.37E-2</v>
      </c>
      <c r="E67" s="3">
        <v>0.3422</v>
      </c>
      <c r="F67" s="3">
        <v>0.50339999999999996</v>
      </c>
      <c r="G67" s="3">
        <v>0.14069999999999999</v>
      </c>
    </row>
    <row r="68" spans="3:7" x14ac:dyDescent="0.3">
      <c r="C68" s="1">
        <v>46508</v>
      </c>
      <c r="D68" s="3">
        <v>1.37E-2</v>
      </c>
      <c r="E68" s="3">
        <v>0.32869999999999999</v>
      </c>
      <c r="F68" s="3">
        <v>0.49840000000000001</v>
      </c>
      <c r="G68" s="3">
        <v>0.15920000000000001</v>
      </c>
    </row>
    <row r="69" spans="3:7" x14ac:dyDescent="0.3">
      <c r="C69" s="1">
        <v>46539</v>
      </c>
      <c r="D69" s="3">
        <v>1.37E-2</v>
      </c>
      <c r="E69" s="3">
        <v>0.30730000000000002</v>
      </c>
      <c r="F69" s="3">
        <v>0.50270000000000004</v>
      </c>
      <c r="G69" s="3">
        <v>0.17630000000000001</v>
      </c>
    </row>
    <row r="70" spans="3:7" x14ac:dyDescent="0.3">
      <c r="C70" s="1">
        <v>46569</v>
      </c>
      <c r="D70" s="3">
        <v>1.37E-2</v>
      </c>
      <c r="E70" s="3">
        <v>0.29909999999999998</v>
      </c>
      <c r="F70" s="3">
        <v>0.49109999999999998</v>
      </c>
      <c r="G70" s="3">
        <v>0.1961</v>
      </c>
    </row>
    <row r="71" spans="3:7" x14ac:dyDescent="0.3">
      <c r="C71" s="1">
        <v>46600</v>
      </c>
      <c r="D71" s="3">
        <v>1.37E-2</v>
      </c>
      <c r="E71" s="3">
        <v>0.30580000000000002</v>
      </c>
      <c r="F71" s="3">
        <v>0.50780000000000003</v>
      </c>
      <c r="G71" s="3">
        <v>0.17269999999999999</v>
      </c>
    </row>
    <row r="72" spans="3:7" x14ac:dyDescent="0.3">
      <c r="C72" s="1">
        <v>46631</v>
      </c>
      <c r="D72" s="3">
        <v>1.37E-2</v>
      </c>
      <c r="E72" s="3">
        <v>0.31929999999999997</v>
      </c>
      <c r="F72" s="3">
        <v>0.46200000000000002</v>
      </c>
      <c r="G72" s="3">
        <v>0.20499999999999999</v>
      </c>
    </row>
    <row r="73" spans="3:7" x14ac:dyDescent="0.3">
      <c r="C73" s="1">
        <v>46661</v>
      </c>
      <c r="D73" s="3">
        <v>1.37E-2</v>
      </c>
      <c r="E73" s="3">
        <v>0.34460000000000002</v>
      </c>
      <c r="F73" s="3">
        <v>0.44140000000000001</v>
      </c>
      <c r="G73" s="3">
        <v>0.20030000000000001</v>
      </c>
    </row>
    <row r="74" spans="3:7" x14ac:dyDescent="0.3">
      <c r="C74" s="1">
        <v>46692</v>
      </c>
      <c r="D74" s="3">
        <v>1.37E-2</v>
      </c>
      <c r="E74" s="3">
        <v>0.3543</v>
      </c>
      <c r="F74" s="3">
        <v>0.44679999999999997</v>
      </c>
      <c r="G74" s="3">
        <v>0.1852</v>
      </c>
    </row>
    <row r="75" spans="3:7" x14ac:dyDescent="0.3">
      <c r="C75" s="1">
        <v>46722</v>
      </c>
      <c r="D75" s="3">
        <v>1.37E-2</v>
      </c>
      <c r="E75" s="3">
        <v>0.33300000000000002</v>
      </c>
      <c r="F75" s="3">
        <v>0.44069999999999998</v>
      </c>
      <c r="G75" s="3">
        <v>0.21260000000000001</v>
      </c>
    </row>
    <row r="76" spans="3:7" x14ac:dyDescent="0.3">
      <c r="C76" s="1">
        <v>46753</v>
      </c>
      <c r="D76" s="3">
        <v>1.37E-2</v>
      </c>
      <c r="E76" s="3">
        <v>0.37069999999999997</v>
      </c>
      <c r="F76" s="3">
        <v>0.4824</v>
      </c>
      <c r="G76" s="3">
        <v>0.13320000000000001</v>
      </c>
    </row>
    <row r="77" spans="3:7" x14ac:dyDescent="0.3">
      <c r="C77" s="1">
        <v>46784</v>
      </c>
      <c r="D77" s="3">
        <v>1.37E-2</v>
      </c>
      <c r="E77" s="3">
        <v>0.35560000000000003</v>
      </c>
      <c r="F77" s="3">
        <v>0.4546</v>
      </c>
      <c r="G77" s="3">
        <v>0.17610000000000001</v>
      </c>
    </row>
    <row r="78" spans="3:7" x14ac:dyDescent="0.3">
      <c r="C78" s="1">
        <v>46813</v>
      </c>
      <c r="D78" s="3">
        <v>1.37E-2</v>
      </c>
      <c r="E78" s="3">
        <v>0.34150000000000003</v>
      </c>
      <c r="F78" s="3">
        <v>0.47260000000000002</v>
      </c>
      <c r="G78" s="3">
        <v>0.17219999999999999</v>
      </c>
    </row>
    <row r="79" spans="3:7" x14ac:dyDescent="0.3">
      <c r="C79" s="1">
        <v>46844</v>
      </c>
      <c r="D79" s="3">
        <v>1.37E-2</v>
      </c>
      <c r="E79" s="3">
        <v>0.34360000000000002</v>
      </c>
      <c r="F79" s="3">
        <v>0.50590000000000002</v>
      </c>
      <c r="G79" s="3">
        <v>0.1368</v>
      </c>
    </row>
    <row r="80" spans="3:7" x14ac:dyDescent="0.3">
      <c r="C80" s="1">
        <v>46874</v>
      </c>
      <c r="D80" s="3">
        <v>1.37E-2</v>
      </c>
      <c r="E80" s="3">
        <v>0.33</v>
      </c>
      <c r="F80" s="3">
        <v>0.50219999999999998</v>
      </c>
      <c r="G80" s="3">
        <v>0.15409999999999999</v>
      </c>
    </row>
    <row r="81" spans="3:7" x14ac:dyDescent="0.3">
      <c r="C81" s="1">
        <v>46905</v>
      </c>
      <c r="D81" s="3">
        <v>1.37E-2</v>
      </c>
      <c r="E81" s="3">
        <v>0.30840000000000001</v>
      </c>
      <c r="F81" s="3">
        <v>0.50329999999999997</v>
      </c>
      <c r="G81" s="3">
        <v>0.17460000000000001</v>
      </c>
    </row>
    <row r="82" spans="3:7" x14ac:dyDescent="0.3">
      <c r="C82" s="1">
        <v>46935</v>
      </c>
      <c r="D82" s="3">
        <v>1.37E-2</v>
      </c>
      <c r="E82" s="3">
        <v>0.30009999999999998</v>
      </c>
      <c r="F82" s="3">
        <v>0.49099999999999999</v>
      </c>
      <c r="G82" s="3">
        <v>0.19520000000000001</v>
      </c>
    </row>
    <row r="83" spans="3:7" x14ac:dyDescent="0.3">
      <c r="C83" s="1">
        <v>46966</v>
      </c>
      <c r="D83" s="3">
        <v>1.37E-2</v>
      </c>
      <c r="E83" s="3">
        <v>0.307</v>
      </c>
      <c r="F83" s="3">
        <v>0.50860000000000005</v>
      </c>
      <c r="G83" s="3">
        <v>0.17069999999999999</v>
      </c>
    </row>
    <row r="84" spans="3:7" x14ac:dyDescent="0.3">
      <c r="C84" s="1">
        <v>46997</v>
      </c>
      <c r="D84" s="3">
        <v>1.37E-2</v>
      </c>
      <c r="E84" s="3">
        <v>0.3196</v>
      </c>
      <c r="F84" s="3">
        <v>0.46010000000000001</v>
      </c>
      <c r="G84" s="3">
        <v>0.20660000000000001</v>
      </c>
    </row>
    <row r="85" spans="3:7" x14ac:dyDescent="0.3">
      <c r="C85" s="1">
        <v>47027</v>
      </c>
      <c r="D85" s="3">
        <v>1.37E-2</v>
      </c>
      <c r="E85" s="3">
        <v>0.34520000000000001</v>
      </c>
      <c r="F85" s="3">
        <v>0.44090000000000001</v>
      </c>
      <c r="G85" s="3">
        <v>0.20019999999999999</v>
      </c>
    </row>
    <row r="86" spans="3:7" x14ac:dyDescent="0.3">
      <c r="C86" s="1">
        <v>47058</v>
      </c>
      <c r="D86" s="3">
        <v>1.37E-2</v>
      </c>
      <c r="E86" s="3">
        <v>0.35560000000000003</v>
      </c>
      <c r="F86" s="3">
        <v>0.4466</v>
      </c>
      <c r="G86" s="3">
        <v>0.18410000000000001</v>
      </c>
    </row>
    <row r="87" spans="3:7" x14ac:dyDescent="0.3">
      <c r="C87" s="1">
        <v>47088</v>
      </c>
      <c r="D87" s="3">
        <v>1.37E-2</v>
      </c>
      <c r="E87" s="3">
        <v>0.33450000000000002</v>
      </c>
      <c r="F87" s="3">
        <v>0.44009999999999999</v>
      </c>
      <c r="G87" s="3">
        <v>0.2117</v>
      </c>
    </row>
    <row r="88" spans="3:7" x14ac:dyDescent="0.3">
      <c r="C88" s="1">
        <v>47119</v>
      </c>
      <c r="D88" s="3">
        <v>1.37E-2</v>
      </c>
      <c r="E88" s="3">
        <v>0.37290000000000001</v>
      </c>
      <c r="F88" s="3">
        <v>0.48139999999999999</v>
      </c>
      <c r="G88" s="3">
        <v>0.13200000000000001</v>
      </c>
    </row>
    <row r="89" spans="3:7" x14ac:dyDescent="0.3">
      <c r="C89" s="1">
        <v>47150</v>
      </c>
      <c r="D89" s="3">
        <v>1.37E-2</v>
      </c>
      <c r="E89" s="3">
        <v>0.35599999999999998</v>
      </c>
      <c r="F89" s="3">
        <v>0.43169999999999997</v>
      </c>
      <c r="G89" s="3">
        <v>0.1986</v>
      </c>
    </row>
    <row r="90" spans="3:7" x14ac:dyDescent="0.3">
      <c r="C90" s="1">
        <v>47178</v>
      </c>
      <c r="D90" s="3">
        <v>1.37E-2</v>
      </c>
      <c r="E90" s="3">
        <v>0.3397</v>
      </c>
      <c r="F90" s="3">
        <v>0.4803</v>
      </c>
      <c r="G90" s="3">
        <v>0.1663</v>
      </c>
    </row>
    <row r="91" spans="3:7" x14ac:dyDescent="0.3">
      <c r="C91" s="1">
        <v>47209</v>
      </c>
      <c r="D91" s="3">
        <v>1.37E-2</v>
      </c>
      <c r="E91" s="3">
        <v>0.34499999999999997</v>
      </c>
      <c r="F91" s="3">
        <v>0.50770000000000004</v>
      </c>
      <c r="G91" s="3">
        <v>0.1336</v>
      </c>
    </row>
    <row r="92" spans="3:7" x14ac:dyDescent="0.3">
      <c r="C92" s="1">
        <v>47239</v>
      </c>
      <c r="D92" s="3">
        <v>1.37E-2</v>
      </c>
      <c r="E92" s="3">
        <v>0.33110000000000001</v>
      </c>
      <c r="F92" s="3">
        <v>0.505</v>
      </c>
      <c r="G92" s="3">
        <v>0.1502</v>
      </c>
    </row>
    <row r="93" spans="3:7" x14ac:dyDescent="0.3">
      <c r="C93" s="1">
        <v>47270</v>
      </c>
      <c r="D93" s="3">
        <v>1.37E-2</v>
      </c>
      <c r="E93" s="3">
        <v>0.30969999999999998</v>
      </c>
      <c r="F93" s="3">
        <v>0.50470000000000004</v>
      </c>
      <c r="G93" s="3">
        <v>0.1719</v>
      </c>
    </row>
    <row r="94" spans="3:7" x14ac:dyDescent="0.3">
      <c r="C94" s="1">
        <v>47300</v>
      </c>
      <c r="D94" s="3">
        <v>1.37E-2</v>
      </c>
      <c r="E94" s="3">
        <v>0.30120000000000002</v>
      </c>
      <c r="F94" s="3">
        <v>0.4909</v>
      </c>
      <c r="G94" s="3">
        <v>0.19420000000000001</v>
      </c>
    </row>
    <row r="95" spans="3:7" x14ac:dyDescent="0.3">
      <c r="C95" s="1">
        <v>47331</v>
      </c>
      <c r="D95" s="3">
        <v>1.37E-2</v>
      </c>
      <c r="E95" s="3">
        <v>0.3085</v>
      </c>
      <c r="F95" s="3">
        <v>0.50939999999999996</v>
      </c>
      <c r="G95" s="3">
        <v>0.16839999999999999</v>
      </c>
    </row>
    <row r="96" spans="3:7" x14ac:dyDescent="0.3">
      <c r="C96" s="1">
        <v>47362</v>
      </c>
      <c r="D96" s="3">
        <v>1.37E-2</v>
      </c>
      <c r="E96" s="3">
        <v>0.32029999999999997</v>
      </c>
      <c r="F96" s="3">
        <v>0.45850000000000002</v>
      </c>
      <c r="G96" s="3">
        <v>0.20749999999999999</v>
      </c>
    </row>
    <row r="97" spans="3:7" x14ac:dyDescent="0.3">
      <c r="C97" s="1">
        <v>47392</v>
      </c>
      <c r="D97" s="3">
        <v>1.37E-2</v>
      </c>
      <c r="E97" s="3">
        <v>0.3463</v>
      </c>
      <c r="F97" s="3">
        <v>0.44</v>
      </c>
      <c r="G97" s="3">
        <v>0.2</v>
      </c>
    </row>
    <row r="98" spans="3:7" x14ac:dyDescent="0.3">
      <c r="C98" s="1">
        <v>47423</v>
      </c>
      <c r="D98" s="3">
        <v>1.37E-2</v>
      </c>
      <c r="E98" s="3">
        <v>0.35770000000000002</v>
      </c>
      <c r="F98" s="3">
        <v>0.44629999999999997</v>
      </c>
      <c r="G98" s="3">
        <v>0.18229999999999999</v>
      </c>
    </row>
    <row r="99" spans="3:7" x14ac:dyDescent="0.3">
      <c r="C99" s="1">
        <v>47453</v>
      </c>
      <c r="D99" s="3">
        <v>1.37E-2</v>
      </c>
      <c r="E99" s="3">
        <v>0.33629999999999999</v>
      </c>
      <c r="F99" s="3">
        <v>0.43940000000000001</v>
      </c>
      <c r="G99" s="3">
        <v>0.21060000000000001</v>
      </c>
    </row>
    <row r="100" spans="3:7" x14ac:dyDescent="0.3">
      <c r="C100" s="1">
        <v>47484</v>
      </c>
      <c r="D100" s="3">
        <v>1.37E-2</v>
      </c>
      <c r="E100" s="3">
        <v>0.37359999999999999</v>
      </c>
      <c r="F100" s="3">
        <v>0.48130000000000001</v>
      </c>
      <c r="G100" s="3">
        <v>0.13139999999999999</v>
      </c>
    </row>
    <row r="101" spans="3:7" x14ac:dyDescent="0.3">
      <c r="C101" s="1">
        <v>47515</v>
      </c>
      <c r="D101" s="3">
        <v>1.37E-2</v>
      </c>
      <c r="E101" s="3">
        <v>0.35599999999999998</v>
      </c>
      <c r="F101" s="3">
        <v>0.42930000000000001</v>
      </c>
      <c r="G101" s="3">
        <v>0.20100000000000001</v>
      </c>
    </row>
    <row r="102" spans="3:7" x14ac:dyDescent="0.3">
      <c r="C102" s="1">
        <v>47543</v>
      </c>
      <c r="D102" s="3">
        <v>1.37E-2</v>
      </c>
      <c r="E102" s="3">
        <v>0.34060000000000001</v>
      </c>
      <c r="F102" s="3">
        <v>0.48010000000000003</v>
      </c>
      <c r="G102" s="3">
        <v>0.1656</v>
      </c>
    </row>
    <row r="103" spans="3:7" x14ac:dyDescent="0.3">
      <c r="C103" s="1">
        <v>47574</v>
      </c>
      <c r="D103" s="3">
        <v>1.37E-2</v>
      </c>
      <c r="E103" s="3">
        <v>0.3463</v>
      </c>
      <c r="F103" s="3">
        <v>0.50949999999999995</v>
      </c>
      <c r="G103" s="3">
        <v>0.1305</v>
      </c>
    </row>
    <row r="104" spans="3:7" x14ac:dyDescent="0.3">
      <c r="C104" s="1">
        <v>47604</v>
      </c>
      <c r="D104" s="3">
        <v>1.37E-2</v>
      </c>
      <c r="E104" s="3">
        <v>0.33210000000000001</v>
      </c>
      <c r="F104" s="3">
        <v>0.5081</v>
      </c>
      <c r="G104" s="3">
        <v>0.14610000000000001</v>
      </c>
    </row>
    <row r="105" spans="3:7" x14ac:dyDescent="0.3">
      <c r="C105" s="1">
        <v>47635</v>
      </c>
      <c r="D105" s="3">
        <v>1.37E-2</v>
      </c>
      <c r="E105" s="3">
        <v>0.31130000000000002</v>
      </c>
      <c r="F105" s="3">
        <v>0.50600000000000001</v>
      </c>
      <c r="G105" s="3">
        <v>0.16900000000000001</v>
      </c>
    </row>
    <row r="106" spans="3:7" x14ac:dyDescent="0.3">
      <c r="C106" s="1">
        <v>47665</v>
      </c>
      <c r="D106" s="3">
        <v>1.37E-2</v>
      </c>
      <c r="E106" s="3">
        <v>0.3024</v>
      </c>
      <c r="F106" s="3">
        <v>0.49099999999999999</v>
      </c>
      <c r="G106" s="3">
        <v>0.19289999999999999</v>
      </c>
    </row>
    <row r="107" spans="3:7" x14ac:dyDescent="0.3">
      <c r="C107" s="1">
        <v>47696</v>
      </c>
      <c r="D107" s="3">
        <v>1.37E-2</v>
      </c>
      <c r="E107" s="3">
        <v>0.31</v>
      </c>
      <c r="F107" s="3">
        <v>0.51</v>
      </c>
      <c r="G107" s="3">
        <v>0.1663</v>
      </c>
    </row>
    <row r="108" spans="3:7" x14ac:dyDescent="0.3">
      <c r="C108" s="1">
        <v>47727</v>
      </c>
      <c r="D108" s="3">
        <v>1.37E-2</v>
      </c>
      <c r="E108" s="3">
        <v>0.32079999999999997</v>
      </c>
      <c r="F108" s="3">
        <v>0.45590000000000003</v>
      </c>
      <c r="G108" s="3">
        <v>0.20960000000000001</v>
      </c>
    </row>
    <row r="109" spans="3:7" x14ac:dyDescent="0.3">
      <c r="C109" s="1">
        <v>47757</v>
      </c>
      <c r="D109" s="3">
        <v>1.37E-2</v>
      </c>
      <c r="E109" s="3">
        <v>0.34710000000000002</v>
      </c>
      <c r="F109" s="3">
        <v>0.439</v>
      </c>
      <c r="G109" s="3">
        <v>0.20019999999999999</v>
      </c>
    </row>
    <row r="110" spans="3:7" x14ac:dyDescent="0.3">
      <c r="C110" s="1">
        <v>47788</v>
      </c>
      <c r="D110" s="3">
        <v>1.37E-2</v>
      </c>
      <c r="E110" s="3">
        <v>0.35949999999999999</v>
      </c>
      <c r="F110" s="3">
        <v>0.44600000000000001</v>
      </c>
      <c r="G110" s="3">
        <v>0.18079999999999999</v>
      </c>
    </row>
    <row r="111" spans="3:7" x14ac:dyDescent="0.3">
      <c r="C111" s="1">
        <v>47818</v>
      </c>
      <c r="D111" s="3">
        <v>1.37E-2</v>
      </c>
      <c r="E111" s="3">
        <v>0.33760000000000001</v>
      </c>
      <c r="F111" s="3">
        <v>0.43869999999999998</v>
      </c>
      <c r="G111" s="3">
        <v>0.21</v>
      </c>
    </row>
    <row r="112" spans="3:7" x14ac:dyDescent="0.3">
      <c r="C112" s="1">
        <v>47849</v>
      </c>
      <c r="D112" s="3">
        <v>1.37E-2</v>
      </c>
      <c r="E112" s="3">
        <v>0.3745</v>
      </c>
      <c r="F112" s="3">
        <v>0.48130000000000001</v>
      </c>
      <c r="G112" s="3">
        <v>0.1305</v>
      </c>
    </row>
    <row r="113" spans="3:7" x14ac:dyDescent="0.3">
      <c r="C113" s="1">
        <v>47880</v>
      </c>
      <c r="D113" s="3">
        <v>1.37E-2</v>
      </c>
      <c r="E113" s="3">
        <v>0.35709999999999997</v>
      </c>
      <c r="F113" s="3">
        <v>0.42699999999999999</v>
      </c>
      <c r="G113" s="3">
        <v>0.20219999999999999</v>
      </c>
    </row>
    <row r="114" spans="3:7" x14ac:dyDescent="0.3">
      <c r="C114" s="1">
        <v>47908</v>
      </c>
      <c r="D114" s="3">
        <v>1.37E-2</v>
      </c>
      <c r="E114" s="3">
        <v>0.34179999999999999</v>
      </c>
      <c r="F114" s="3">
        <v>0.48</v>
      </c>
      <c r="G114" s="3">
        <v>0.16450000000000001</v>
      </c>
    </row>
    <row r="115" spans="3:7" x14ac:dyDescent="0.3">
      <c r="C115" s="1">
        <v>47939</v>
      </c>
      <c r="D115" s="3">
        <v>1.37E-2</v>
      </c>
      <c r="E115" s="3">
        <v>0.3473</v>
      </c>
      <c r="F115" s="3">
        <v>0.51129999999999998</v>
      </c>
      <c r="G115" s="3">
        <v>0.12770000000000001</v>
      </c>
    </row>
    <row r="116" spans="3:7" x14ac:dyDescent="0.3">
      <c r="C116" s="1">
        <v>47969</v>
      </c>
      <c r="D116" s="3">
        <v>1.37E-2</v>
      </c>
      <c r="E116" s="3">
        <v>0.3332</v>
      </c>
      <c r="F116" s="3">
        <v>0.51029999999999998</v>
      </c>
      <c r="G116" s="3">
        <v>0.14280000000000001</v>
      </c>
    </row>
    <row r="117" spans="3:7" x14ac:dyDescent="0.3">
      <c r="C117" s="1">
        <v>48000</v>
      </c>
      <c r="D117" s="3">
        <v>1.37E-2</v>
      </c>
      <c r="E117" s="3">
        <v>0.31230000000000002</v>
      </c>
      <c r="F117" s="3">
        <v>0.50839999999999996</v>
      </c>
      <c r="G117" s="3">
        <v>0.1656</v>
      </c>
    </row>
    <row r="118" spans="3:7" x14ac:dyDescent="0.3">
      <c r="C118" s="1">
        <v>48030</v>
      </c>
      <c r="D118" s="3">
        <v>1.37E-2</v>
      </c>
      <c r="E118" s="3">
        <v>0.30409999999999998</v>
      </c>
      <c r="F118" s="3">
        <v>0.49440000000000001</v>
      </c>
      <c r="G118" s="3">
        <v>0.18779999999999999</v>
      </c>
    </row>
    <row r="119" spans="3:7" x14ac:dyDescent="0.3">
      <c r="C119" s="1">
        <v>48061</v>
      </c>
      <c r="D119" s="3">
        <v>1.37E-2</v>
      </c>
      <c r="E119" s="3">
        <v>0.31140000000000001</v>
      </c>
      <c r="F119" s="3">
        <v>0.51290000000000002</v>
      </c>
      <c r="G119" s="3">
        <v>0.16200000000000001</v>
      </c>
    </row>
    <row r="120" spans="3:7" x14ac:dyDescent="0.3">
      <c r="C120" s="1">
        <v>48092</v>
      </c>
      <c r="D120" s="3">
        <v>1.37E-2</v>
      </c>
      <c r="E120" s="3">
        <v>0.3216</v>
      </c>
      <c r="F120" s="3">
        <v>0.45600000000000002</v>
      </c>
      <c r="G120" s="3">
        <v>0.2087</v>
      </c>
    </row>
    <row r="121" spans="3:7" x14ac:dyDescent="0.3">
      <c r="C121" s="1">
        <v>48122</v>
      </c>
      <c r="D121" s="3">
        <v>1.37E-2</v>
      </c>
      <c r="E121" s="3">
        <v>0.34749999999999998</v>
      </c>
      <c r="F121" s="3">
        <v>0.43880000000000002</v>
      </c>
      <c r="G121" s="3">
        <v>0.2</v>
      </c>
    </row>
    <row r="122" spans="3:7" x14ac:dyDescent="0.3">
      <c r="C122" s="1">
        <v>48153</v>
      </c>
      <c r="D122" s="3">
        <v>1.37E-2</v>
      </c>
      <c r="E122" s="3">
        <v>0.36030000000000001</v>
      </c>
      <c r="F122" s="3">
        <v>0.4466</v>
      </c>
      <c r="G122" s="3">
        <v>0.1794</v>
      </c>
    </row>
    <row r="123" spans="3:7" x14ac:dyDescent="0.3">
      <c r="C123" s="1">
        <v>48183</v>
      </c>
      <c r="D123" s="3">
        <v>1.37E-2</v>
      </c>
      <c r="E123" s="3">
        <v>0.33900000000000002</v>
      </c>
      <c r="F123" s="3">
        <v>0.43880000000000002</v>
      </c>
      <c r="G123" s="3">
        <v>0.20849999999999999</v>
      </c>
    </row>
    <row r="124" spans="3:7" x14ac:dyDescent="0.3">
      <c r="C124" s="1">
        <v>48214</v>
      </c>
      <c r="D124" s="3">
        <v>1.37E-2</v>
      </c>
      <c r="E124" s="3">
        <v>0.37480000000000002</v>
      </c>
      <c r="F124" s="3">
        <v>0.48170000000000002</v>
      </c>
      <c r="G124" s="3">
        <v>0.1298</v>
      </c>
    </row>
    <row r="125" spans="3:7" x14ac:dyDescent="0.3">
      <c r="C125" s="1">
        <v>48245</v>
      </c>
      <c r="D125" s="3">
        <v>1.37E-2</v>
      </c>
      <c r="E125" s="3">
        <v>0.36249999999999999</v>
      </c>
      <c r="F125" s="3">
        <v>0.45140000000000002</v>
      </c>
      <c r="G125" s="3">
        <v>0.1724</v>
      </c>
    </row>
    <row r="126" spans="3:7" x14ac:dyDescent="0.3">
      <c r="C126" s="1">
        <v>48274</v>
      </c>
      <c r="D126" s="3">
        <v>1.37E-2</v>
      </c>
      <c r="E126" s="3">
        <v>0.34589999999999999</v>
      </c>
      <c r="F126" s="3">
        <v>0.47189999999999999</v>
      </c>
      <c r="G126" s="3">
        <v>0.16850000000000001</v>
      </c>
    </row>
    <row r="127" spans="3:7" x14ac:dyDescent="0.3">
      <c r="C127" s="1">
        <v>48305</v>
      </c>
      <c r="D127" s="3">
        <v>1.37E-2</v>
      </c>
      <c r="E127" s="3">
        <v>0.34839999999999999</v>
      </c>
      <c r="F127" s="3">
        <v>0.51300000000000001</v>
      </c>
      <c r="G127" s="3">
        <v>0.1249</v>
      </c>
    </row>
    <row r="128" spans="3:7" x14ac:dyDescent="0.3">
      <c r="C128" s="1">
        <v>48335</v>
      </c>
      <c r="D128" s="3">
        <v>1.37E-2</v>
      </c>
      <c r="E128" s="3">
        <v>0.33389999999999997</v>
      </c>
      <c r="F128" s="3">
        <v>0.51149999999999995</v>
      </c>
      <c r="G128" s="3">
        <v>0.1409</v>
      </c>
    </row>
    <row r="129" spans="3:7" x14ac:dyDescent="0.3">
      <c r="C129" s="1">
        <v>48366</v>
      </c>
      <c r="D129" s="3">
        <v>1.37E-2</v>
      </c>
      <c r="E129" s="3">
        <v>0.31380000000000002</v>
      </c>
      <c r="F129" s="3">
        <v>0.51249999999999996</v>
      </c>
      <c r="G129" s="3">
        <v>0.16</v>
      </c>
    </row>
    <row r="130" spans="3:7" x14ac:dyDescent="0.3">
      <c r="C130" s="1">
        <v>48396</v>
      </c>
      <c r="D130" s="3">
        <v>1.37E-2</v>
      </c>
      <c r="E130" s="3">
        <v>0.30620000000000003</v>
      </c>
      <c r="F130" s="3">
        <v>0.49990000000000001</v>
      </c>
      <c r="G130" s="3">
        <v>0.1802</v>
      </c>
    </row>
    <row r="131" spans="3:7" x14ac:dyDescent="0.3">
      <c r="C131" s="1">
        <v>48427</v>
      </c>
      <c r="D131" s="3">
        <v>1.37E-2</v>
      </c>
      <c r="E131" s="3">
        <v>0.31319999999999998</v>
      </c>
      <c r="F131" s="3">
        <v>0.51849999999999996</v>
      </c>
      <c r="G131" s="3">
        <v>0.15459999999999999</v>
      </c>
    </row>
    <row r="132" spans="3:7" x14ac:dyDescent="0.3">
      <c r="C132" s="1">
        <v>48458</v>
      </c>
      <c r="D132" s="3">
        <v>1.37E-2</v>
      </c>
      <c r="E132" s="3">
        <v>0.32290000000000002</v>
      </c>
      <c r="F132" s="3">
        <v>0.45710000000000001</v>
      </c>
      <c r="G132" s="3">
        <v>0.20630000000000001</v>
      </c>
    </row>
    <row r="133" spans="3:7" x14ac:dyDescent="0.3">
      <c r="C133" s="1">
        <v>48488</v>
      </c>
      <c r="D133" s="3">
        <v>1.37E-2</v>
      </c>
      <c r="E133" s="3">
        <v>0.34849999999999998</v>
      </c>
      <c r="F133" s="3">
        <v>0.43959999999999999</v>
      </c>
      <c r="G133" s="3">
        <v>0.19819999999999999</v>
      </c>
    </row>
    <row r="134" spans="3:7" x14ac:dyDescent="0.3">
      <c r="C134" s="1">
        <v>48519</v>
      </c>
      <c r="D134" s="3">
        <v>1.37E-2</v>
      </c>
      <c r="E134" s="3">
        <v>0.36109999999999998</v>
      </c>
      <c r="F134" s="3">
        <v>0.44769999999999999</v>
      </c>
      <c r="G134" s="3">
        <v>0.17749999999999999</v>
      </c>
    </row>
    <row r="135" spans="3:7" x14ac:dyDescent="0.3">
      <c r="C135" s="1">
        <v>48549</v>
      </c>
      <c r="D135" s="3">
        <v>1.37E-2</v>
      </c>
      <c r="E135" s="3">
        <v>0.33950000000000002</v>
      </c>
      <c r="F135" s="3">
        <v>0.43919999999999998</v>
      </c>
      <c r="G135" s="3">
        <v>0.20760000000000001</v>
      </c>
    </row>
    <row r="136" spans="3:7" x14ac:dyDescent="0.3">
      <c r="C136" s="1">
        <v>48580</v>
      </c>
      <c r="D136" s="3">
        <v>1.37E-2</v>
      </c>
      <c r="E136" s="3">
        <v>0.3745</v>
      </c>
      <c r="F136" s="3">
        <v>0.4829</v>
      </c>
      <c r="G136" s="3">
        <v>0.12889999999999999</v>
      </c>
    </row>
    <row r="137" spans="3:7" x14ac:dyDescent="0.3">
      <c r="C137" s="1">
        <v>48611</v>
      </c>
      <c r="D137" s="3">
        <v>1.37E-2</v>
      </c>
      <c r="E137" s="3">
        <v>0.36099999999999999</v>
      </c>
      <c r="F137" s="3">
        <v>0.42849999999999999</v>
      </c>
      <c r="G137" s="3">
        <v>0.1968</v>
      </c>
    </row>
    <row r="138" spans="3:7" x14ac:dyDescent="0.3">
      <c r="C138" s="1">
        <v>48639</v>
      </c>
      <c r="D138" s="3">
        <v>1.37E-2</v>
      </c>
      <c r="E138" s="3">
        <v>0.34239999999999998</v>
      </c>
      <c r="F138" s="3">
        <v>0.4819</v>
      </c>
      <c r="G138" s="3">
        <v>0.16200000000000001</v>
      </c>
    </row>
    <row r="139" spans="3:7" x14ac:dyDescent="0.3">
      <c r="C139" s="1">
        <v>48670</v>
      </c>
      <c r="D139" s="3">
        <v>1.37E-2</v>
      </c>
      <c r="E139" s="3">
        <v>0.3488</v>
      </c>
      <c r="F139" s="3">
        <v>0.51470000000000005</v>
      </c>
      <c r="G139" s="3">
        <v>0.12280000000000001</v>
      </c>
    </row>
    <row r="140" spans="3:7" x14ac:dyDescent="0.3">
      <c r="C140" s="1">
        <v>48700</v>
      </c>
      <c r="D140" s="3">
        <v>1.37E-2</v>
      </c>
      <c r="E140" s="3">
        <v>0.3347</v>
      </c>
      <c r="F140" s="3">
        <v>0.51280000000000003</v>
      </c>
      <c r="G140" s="3">
        <v>0.13880000000000001</v>
      </c>
    </row>
    <row r="141" spans="3:7" x14ac:dyDescent="0.3">
      <c r="C141" s="1">
        <v>48731</v>
      </c>
      <c r="D141" s="3">
        <v>1.37E-2</v>
      </c>
      <c r="E141" s="3">
        <v>0.31490000000000001</v>
      </c>
      <c r="F141" s="3">
        <v>0.51639999999999997</v>
      </c>
      <c r="G141" s="3">
        <v>0.155</v>
      </c>
    </row>
    <row r="142" spans="3:7" x14ac:dyDescent="0.3">
      <c r="C142" s="1">
        <v>48761</v>
      </c>
      <c r="D142" s="3">
        <v>1.37E-2</v>
      </c>
      <c r="E142" s="3">
        <v>0.30840000000000001</v>
      </c>
      <c r="F142" s="3">
        <v>0.50600000000000001</v>
      </c>
      <c r="G142" s="3">
        <v>0.1719</v>
      </c>
    </row>
    <row r="143" spans="3:7" x14ac:dyDescent="0.3">
      <c r="C143" s="1">
        <v>48792</v>
      </c>
      <c r="D143" s="3">
        <v>1.37E-2</v>
      </c>
      <c r="E143" s="3">
        <v>0.31480000000000002</v>
      </c>
      <c r="F143" s="3">
        <v>0.52349999999999997</v>
      </c>
      <c r="G143" s="3">
        <v>0.14799999999999999</v>
      </c>
    </row>
    <row r="144" spans="3:7" x14ac:dyDescent="0.3">
      <c r="C144" s="1">
        <v>48823</v>
      </c>
      <c r="D144" s="3">
        <v>1.37E-2</v>
      </c>
      <c r="E144" s="3">
        <v>0.32479999999999998</v>
      </c>
      <c r="F144" s="3">
        <v>0.45829999999999999</v>
      </c>
      <c r="G144" s="3">
        <v>0.20319999999999999</v>
      </c>
    </row>
    <row r="145" spans="3:7" x14ac:dyDescent="0.3">
      <c r="C145" s="1">
        <v>48853</v>
      </c>
      <c r="D145" s="3">
        <v>1.37E-2</v>
      </c>
      <c r="E145" s="3">
        <v>0.34949999999999998</v>
      </c>
      <c r="F145" s="3">
        <v>0.44030000000000002</v>
      </c>
      <c r="G145" s="3">
        <v>0.19650000000000001</v>
      </c>
    </row>
    <row r="146" spans="3:7" x14ac:dyDescent="0.3">
      <c r="C146" s="1">
        <v>48884</v>
      </c>
      <c r="D146" s="3">
        <v>1.37E-2</v>
      </c>
      <c r="E146" s="3">
        <v>0.36199999999999999</v>
      </c>
      <c r="F146" s="3">
        <v>0.44869999999999999</v>
      </c>
      <c r="G146" s="3">
        <v>0.17560000000000001</v>
      </c>
    </row>
    <row r="147" spans="3:7" x14ac:dyDescent="0.3">
      <c r="C147" s="1">
        <v>48914</v>
      </c>
      <c r="D147" s="3">
        <v>1.37E-2</v>
      </c>
      <c r="E147" s="3">
        <v>0.3402</v>
      </c>
      <c r="F147" s="3">
        <v>0.44009999999999999</v>
      </c>
      <c r="G147" s="3">
        <v>0.20599999999999999</v>
      </c>
    </row>
    <row r="148" spans="3:7" x14ac:dyDescent="0.3">
      <c r="C148" s="1">
        <v>48945</v>
      </c>
      <c r="D148" s="3">
        <v>1.37E-2</v>
      </c>
      <c r="E148" s="3">
        <v>0.37459999999999999</v>
      </c>
      <c r="F148" s="3">
        <v>0.4834</v>
      </c>
      <c r="G148" s="3">
        <v>0.1283</v>
      </c>
    </row>
    <row r="149" spans="3:7" x14ac:dyDescent="0.3">
      <c r="C149" s="1">
        <v>48976</v>
      </c>
      <c r="D149" s="3">
        <v>1.37E-2</v>
      </c>
      <c r="E149" s="3">
        <v>0.36280000000000001</v>
      </c>
      <c r="F149" s="3">
        <v>0.42930000000000001</v>
      </c>
      <c r="G149" s="3">
        <v>0.19420000000000001</v>
      </c>
    </row>
    <row r="150" spans="3:7" x14ac:dyDescent="0.3">
      <c r="C150" s="1">
        <v>49004</v>
      </c>
      <c r="D150" s="3">
        <v>1.37E-2</v>
      </c>
      <c r="E150" s="3">
        <v>0.34250000000000003</v>
      </c>
      <c r="F150" s="3">
        <v>0.48309999999999997</v>
      </c>
      <c r="G150" s="3">
        <v>0.16070000000000001</v>
      </c>
    </row>
    <row r="151" spans="3:7" x14ac:dyDescent="0.3">
      <c r="C151" s="1">
        <v>49035</v>
      </c>
      <c r="D151" s="3">
        <v>1.37E-2</v>
      </c>
      <c r="E151" s="3">
        <v>0.34960000000000002</v>
      </c>
      <c r="F151" s="3">
        <v>0.51629999999999998</v>
      </c>
      <c r="G151" s="3">
        <v>0.12039999999999999</v>
      </c>
    </row>
    <row r="152" spans="3:7" x14ac:dyDescent="0.3">
      <c r="C152" s="1">
        <v>49065</v>
      </c>
      <c r="D152" s="3">
        <v>1.37E-2</v>
      </c>
      <c r="E152" s="3">
        <v>0.33550000000000002</v>
      </c>
      <c r="F152" s="3">
        <v>0.51370000000000005</v>
      </c>
      <c r="G152" s="3">
        <v>0.1371</v>
      </c>
    </row>
    <row r="153" spans="3:7" x14ac:dyDescent="0.3">
      <c r="C153" s="1">
        <v>49096</v>
      </c>
      <c r="D153" s="3">
        <v>1.37E-2</v>
      </c>
      <c r="E153" s="3">
        <v>0.31580000000000003</v>
      </c>
      <c r="F153" s="3">
        <v>0.52</v>
      </c>
      <c r="G153" s="3">
        <v>0.15049999999999999</v>
      </c>
    </row>
    <row r="154" spans="3:7" x14ac:dyDescent="0.3">
      <c r="C154" s="1">
        <v>49126</v>
      </c>
      <c r="D154" s="3">
        <v>1.37E-2</v>
      </c>
      <c r="E154" s="3">
        <v>0.3105</v>
      </c>
      <c r="F154" s="3">
        <v>0.51480000000000004</v>
      </c>
      <c r="G154" s="3">
        <v>0.161</v>
      </c>
    </row>
    <row r="155" spans="3:7" x14ac:dyDescent="0.3">
      <c r="C155" s="1">
        <v>49157</v>
      </c>
      <c r="D155" s="3">
        <v>1.37E-2</v>
      </c>
      <c r="E155" s="3">
        <v>0.31659999999999999</v>
      </c>
      <c r="F155" s="3">
        <v>0.52839999999999998</v>
      </c>
      <c r="G155" s="3">
        <v>0.14130000000000001</v>
      </c>
    </row>
    <row r="156" spans="3:7" x14ac:dyDescent="0.3">
      <c r="C156" s="1">
        <v>49188</v>
      </c>
      <c r="D156" s="3">
        <v>1.37E-2</v>
      </c>
      <c r="E156" s="3">
        <v>0.32650000000000001</v>
      </c>
      <c r="F156" s="3">
        <v>0.45960000000000001</v>
      </c>
      <c r="G156" s="3">
        <v>0.20019999999999999</v>
      </c>
    </row>
    <row r="157" spans="3:7" x14ac:dyDescent="0.3">
      <c r="C157" s="1">
        <v>49218</v>
      </c>
      <c r="D157" s="3">
        <v>1.37E-2</v>
      </c>
      <c r="E157" s="3">
        <v>0.3503</v>
      </c>
      <c r="F157" s="3">
        <v>0.44159999999999999</v>
      </c>
      <c r="G157" s="3">
        <v>0.19439999999999999</v>
      </c>
    </row>
    <row r="158" spans="3:7" x14ac:dyDescent="0.3">
      <c r="C158" s="1">
        <v>49249</v>
      </c>
      <c r="D158" s="3">
        <v>1.37E-2</v>
      </c>
      <c r="E158" s="3">
        <v>0.36270000000000002</v>
      </c>
      <c r="F158" s="3">
        <v>0.44979999999999998</v>
      </c>
      <c r="G158" s="3">
        <v>0.17380000000000001</v>
      </c>
    </row>
    <row r="159" spans="3:7" x14ac:dyDescent="0.3">
      <c r="C159" s="1">
        <v>49279</v>
      </c>
      <c r="D159" s="3">
        <v>1.37E-2</v>
      </c>
      <c r="E159" s="3">
        <v>0.3412</v>
      </c>
      <c r="F159" s="3">
        <v>0.44059999999999999</v>
      </c>
      <c r="G159" s="3">
        <v>0.20449999999999999</v>
      </c>
    </row>
    <row r="160" spans="3:7" x14ac:dyDescent="0.3">
      <c r="C160" s="1">
        <v>49310</v>
      </c>
      <c r="D160" s="3">
        <v>1.37E-2</v>
      </c>
      <c r="E160" s="3">
        <v>0.37459999999999999</v>
      </c>
      <c r="F160" s="3">
        <v>0.4839</v>
      </c>
      <c r="G160" s="3">
        <v>0.1278</v>
      </c>
    </row>
    <row r="161" spans="3:7" x14ac:dyDescent="0.3">
      <c r="C161" s="1">
        <v>49341</v>
      </c>
      <c r="D161" s="3">
        <v>1.37E-2</v>
      </c>
      <c r="E161" s="3">
        <v>0.3644</v>
      </c>
      <c r="F161" s="3">
        <v>0.43090000000000001</v>
      </c>
      <c r="G161" s="3">
        <v>0.191</v>
      </c>
    </row>
    <row r="162" spans="3:7" x14ac:dyDescent="0.3">
      <c r="C162" s="1">
        <v>49369</v>
      </c>
      <c r="D162" s="3">
        <v>1.37E-2</v>
      </c>
      <c r="E162" s="3">
        <v>0.34289999999999998</v>
      </c>
      <c r="F162" s="3">
        <v>0.48409999999999997</v>
      </c>
      <c r="G162" s="3">
        <v>0.1593</v>
      </c>
    </row>
    <row r="163" spans="3:7" x14ac:dyDescent="0.3">
      <c r="C163" s="1">
        <v>49400</v>
      </c>
      <c r="D163" s="3">
        <v>1.37E-2</v>
      </c>
      <c r="E163" s="3">
        <v>0.35060000000000002</v>
      </c>
      <c r="F163" s="3">
        <v>0.51729999999999998</v>
      </c>
      <c r="G163" s="3">
        <v>0.11840000000000001</v>
      </c>
    </row>
    <row r="164" spans="3:7" x14ac:dyDescent="0.3">
      <c r="C164" s="1">
        <v>49430</v>
      </c>
      <c r="D164" s="3">
        <v>1.37E-2</v>
      </c>
      <c r="E164" s="3">
        <v>0.33600000000000002</v>
      </c>
      <c r="F164" s="3">
        <v>0.51490000000000002</v>
      </c>
      <c r="G164" s="3">
        <v>0.13539999999999999</v>
      </c>
    </row>
    <row r="165" spans="3:7" x14ac:dyDescent="0.3">
      <c r="C165" s="1">
        <v>49461</v>
      </c>
      <c r="D165" s="3">
        <v>1.37E-2</v>
      </c>
      <c r="E165" s="3">
        <v>0.31659999999999999</v>
      </c>
      <c r="F165" s="3">
        <v>0.52310000000000001</v>
      </c>
      <c r="G165" s="3">
        <v>0.14660000000000001</v>
      </c>
    </row>
    <row r="166" spans="3:7" x14ac:dyDescent="0.3">
      <c r="C166" s="1">
        <v>49491</v>
      </c>
      <c r="D166" s="3">
        <v>1.37E-2</v>
      </c>
      <c r="E166" s="3">
        <v>0.3125</v>
      </c>
      <c r="F166" s="3">
        <v>0.52159999999999995</v>
      </c>
      <c r="G166" s="3">
        <v>0.1522</v>
      </c>
    </row>
    <row r="167" spans="3:7" x14ac:dyDescent="0.3">
      <c r="C167" s="1">
        <v>49522</v>
      </c>
      <c r="D167" s="3">
        <v>1.37E-2</v>
      </c>
      <c r="E167" s="3">
        <v>0.318</v>
      </c>
      <c r="F167" s="3">
        <v>0.53269999999999995</v>
      </c>
      <c r="G167" s="3">
        <v>0.1356</v>
      </c>
    </row>
    <row r="168" spans="3:7" x14ac:dyDescent="0.3">
      <c r="C168" s="1">
        <v>49553</v>
      </c>
      <c r="D168" s="3">
        <v>1.37E-2</v>
      </c>
      <c r="E168" s="3">
        <v>0.32779999999999998</v>
      </c>
      <c r="F168" s="3">
        <v>0.46160000000000001</v>
      </c>
      <c r="G168" s="3">
        <v>0.19689999999999999</v>
      </c>
    </row>
    <row r="169" spans="3:7" x14ac:dyDescent="0.3">
      <c r="C169" s="1">
        <v>49583</v>
      </c>
      <c r="D169" s="3">
        <v>1.37E-2</v>
      </c>
      <c r="E169" s="3">
        <v>0.35110000000000002</v>
      </c>
      <c r="F169" s="3">
        <v>0.4425</v>
      </c>
      <c r="G169" s="3">
        <v>0.19270000000000001</v>
      </c>
    </row>
    <row r="170" spans="3:7" x14ac:dyDescent="0.3">
      <c r="C170" s="1">
        <v>49614</v>
      </c>
      <c r="D170" s="3">
        <v>1.37E-2</v>
      </c>
      <c r="E170" s="3">
        <v>0.36299999999999999</v>
      </c>
      <c r="F170" s="3">
        <v>0.45090000000000002</v>
      </c>
      <c r="G170" s="3">
        <v>0.1724</v>
      </c>
    </row>
    <row r="171" spans="3:7" x14ac:dyDescent="0.3">
      <c r="C171" s="1">
        <v>49644</v>
      </c>
      <c r="D171" s="3">
        <v>1.37E-2</v>
      </c>
      <c r="E171" s="3">
        <v>0.3417</v>
      </c>
      <c r="F171" s="3">
        <v>0.44109999999999999</v>
      </c>
      <c r="G171" s="3">
        <v>0.20349999999999999</v>
      </c>
    </row>
    <row r="172" spans="3:7" x14ac:dyDescent="0.3">
      <c r="C172" s="1">
        <v>49675</v>
      </c>
      <c r="D172" s="3">
        <v>1.37E-2</v>
      </c>
      <c r="E172" s="3">
        <v>0.37440000000000001</v>
      </c>
      <c r="F172" s="3">
        <v>0.48430000000000001</v>
      </c>
      <c r="G172" s="3">
        <v>0.12759999999999999</v>
      </c>
    </row>
    <row r="173" spans="3:7" x14ac:dyDescent="0.3">
      <c r="C173" s="1">
        <v>49706</v>
      </c>
      <c r="D173" s="3">
        <v>1.37E-2</v>
      </c>
      <c r="E173" s="3">
        <v>0.37009999999999998</v>
      </c>
      <c r="F173" s="3">
        <v>0.46179999999999999</v>
      </c>
      <c r="G173" s="3">
        <v>0.15440000000000001</v>
      </c>
    </row>
    <row r="174" spans="3:7" x14ac:dyDescent="0.3">
      <c r="C174" s="1">
        <v>49735</v>
      </c>
      <c r="D174" s="3">
        <v>1.37E-2</v>
      </c>
      <c r="E174" s="3">
        <v>0.34599999999999997</v>
      </c>
      <c r="F174" s="3">
        <v>0.4773</v>
      </c>
      <c r="G174" s="3">
        <v>0.16300000000000001</v>
      </c>
    </row>
    <row r="175" spans="3:7" x14ac:dyDescent="0.3">
      <c r="C175" s="1">
        <v>49766</v>
      </c>
      <c r="D175" s="3">
        <v>1.37E-2</v>
      </c>
      <c r="E175" s="3">
        <v>0.35149999999999998</v>
      </c>
      <c r="F175" s="3">
        <v>0.51829999999999998</v>
      </c>
      <c r="G175" s="3">
        <v>0.11650000000000001</v>
      </c>
    </row>
    <row r="176" spans="3:7" x14ac:dyDescent="0.3">
      <c r="C176" s="1">
        <v>49796</v>
      </c>
      <c r="D176" s="3">
        <v>1.37E-2</v>
      </c>
      <c r="E176" s="3">
        <v>0.3367</v>
      </c>
      <c r="F176" s="3">
        <v>0.51549999999999996</v>
      </c>
      <c r="G176" s="3">
        <v>0.1341</v>
      </c>
    </row>
    <row r="177" spans="3:7" x14ac:dyDescent="0.3">
      <c r="C177" s="1">
        <v>49827</v>
      </c>
      <c r="D177" s="3">
        <v>1.37E-2</v>
      </c>
      <c r="E177" s="3">
        <v>0.1837</v>
      </c>
      <c r="F177" s="3">
        <v>0.46560000000000001</v>
      </c>
      <c r="G177" s="3">
        <v>0.33700000000000002</v>
      </c>
    </row>
    <row r="178" spans="3:7" x14ac:dyDescent="0.3">
      <c r="C178" s="1">
        <v>49857</v>
      </c>
      <c r="D178" s="3">
        <v>1.37E-2</v>
      </c>
      <c r="E178" s="3">
        <v>0.31459999999999999</v>
      </c>
      <c r="F178" s="3">
        <v>0.5292</v>
      </c>
      <c r="G178" s="3">
        <v>0.14249999999999999</v>
      </c>
    </row>
    <row r="179" spans="3:7" x14ac:dyDescent="0.3">
      <c r="C179" s="1">
        <v>49888</v>
      </c>
      <c r="D179" s="3">
        <v>1.37E-2</v>
      </c>
      <c r="E179" s="3">
        <v>0.31929999999999997</v>
      </c>
      <c r="F179" s="3">
        <v>0.5363</v>
      </c>
      <c r="G179" s="3">
        <v>0.13070000000000001</v>
      </c>
    </row>
    <row r="180" spans="3:7" x14ac:dyDescent="0.3">
      <c r="C180" s="1">
        <v>49919</v>
      </c>
      <c r="D180" s="3">
        <v>1.37E-2</v>
      </c>
      <c r="E180" s="3">
        <v>0.3291</v>
      </c>
      <c r="F180" s="3">
        <v>0.46379999999999999</v>
      </c>
      <c r="G180" s="3">
        <v>0.19339999999999999</v>
      </c>
    </row>
    <row r="181" spans="3:7" x14ac:dyDescent="0.3">
      <c r="C181" s="1">
        <v>49949</v>
      </c>
      <c r="D181" s="3">
        <v>1.37E-2</v>
      </c>
      <c r="E181" s="3">
        <v>0.35199999999999998</v>
      </c>
      <c r="F181" s="3">
        <v>0.44409999999999999</v>
      </c>
      <c r="G181" s="3">
        <v>0.19020000000000001</v>
      </c>
    </row>
    <row r="182" spans="3:7" x14ac:dyDescent="0.3">
      <c r="C182" s="1">
        <v>49980</v>
      </c>
      <c r="D182" s="3">
        <v>1.37E-2</v>
      </c>
      <c r="E182" s="3">
        <v>0.36330000000000001</v>
      </c>
      <c r="F182" s="3">
        <v>0.45200000000000001</v>
      </c>
      <c r="G182" s="3">
        <v>0.17100000000000001</v>
      </c>
    </row>
    <row r="183" spans="3:7" x14ac:dyDescent="0.3">
      <c r="C183" s="1">
        <v>50010</v>
      </c>
      <c r="D183" s="3">
        <v>1.37E-2</v>
      </c>
      <c r="E183" s="3">
        <v>0.34210000000000002</v>
      </c>
      <c r="F183" s="3">
        <v>0.44180000000000003</v>
      </c>
      <c r="G183" s="3">
        <v>0.2024</v>
      </c>
    </row>
    <row r="184" spans="3:7" x14ac:dyDescent="0.3">
      <c r="C184" s="1">
        <v>50041</v>
      </c>
      <c r="D184" s="3">
        <v>1.37E-2</v>
      </c>
      <c r="E184" s="3">
        <v>0.37469999999999998</v>
      </c>
      <c r="F184" s="3">
        <v>0.48470000000000002</v>
      </c>
      <c r="G184" s="3">
        <v>0.12690000000000001</v>
      </c>
    </row>
    <row r="185" spans="3:7" x14ac:dyDescent="0.3">
      <c r="C185" s="1">
        <v>50072</v>
      </c>
      <c r="D185" s="3">
        <v>1.37E-2</v>
      </c>
      <c r="E185" s="3">
        <v>0.3674</v>
      </c>
      <c r="F185" s="3">
        <v>0.43559999999999999</v>
      </c>
      <c r="G185" s="3">
        <v>0.18329999999999999</v>
      </c>
    </row>
    <row r="186" spans="3:7" x14ac:dyDescent="0.3">
      <c r="C186" s="1">
        <v>50100</v>
      </c>
      <c r="D186" s="3">
        <v>1.37E-2</v>
      </c>
      <c r="E186" s="3">
        <v>0.34360000000000002</v>
      </c>
      <c r="F186" s="3">
        <v>0.48609999999999998</v>
      </c>
      <c r="G186" s="3">
        <v>0.15659999999999999</v>
      </c>
    </row>
    <row r="187" spans="3:7" x14ac:dyDescent="0.3">
      <c r="C187" s="1">
        <v>50131</v>
      </c>
      <c r="D187" s="3">
        <v>1.37E-2</v>
      </c>
      <c r="E187" s="3">
        <v>0.35210000000000002</v>
      </c>
      <c r="F187" s="3">
        <v>0.51919999999999999</v>
      </c>
      <c r="G187" s="3">
        <v>0.115</v>
      </c>
    </row>
    <row r="188" spans="3:7" x14ac:dyDescent="0.3">
      <c r="C188" s="1">
        <v>50161</v>
      </c>
      <c r="D188" s="3">
        <v>1.37E-2</v>
      </c>
      <c r="E188" s="3">
        <v>0.3372</v>
      </c>
      <c r="F188" s="3">
        <v>0.51670000000000005</v>
      </c>
      <c r="G188" s="3">
        <v>0.13239999999999999</v>
      </c>
    </row>
    <row r="189" spans="3:7" x14ac:dyDescent="0.3">
      <c r="C189" s="1">
        <v>50192</v>
      </c>
      <c r="D189" s="3">
        <v>1.37E-2</v>
      </c>
      <c r="E189" s="3">
        <v>0.318</v>
      </c>
      <c r="F189" s="3">
        <v>0.52890000000000004</v>
      </c>
      <c r="G189" s="3">
        <v>0.1394</v>
      </c>
    </row>
    <row r="190" spans="3:7" x14ac:dyDescent="0.3">
      <c r="C190" s="1">
        <v>50222</v>
      </c>
      <c r="D190" s="3">
        <v>1.37E-2</v>
      </c>
      <c r="E190" s="3">
        <v>0.316</v>
      </c>
      <c r="F190" s="3">
        <v>0.53549999999999998</v>
      </c>
      <c r="G190" s="3">
        <v>0.1348</v>
      </c>
    </row>
    <row r="191" spans="3:7" x14ac:dyDescent="0.3">
      <c r="C191" s="1">
        <v>50253</v>
      </c>
      <c r="D191" s="3">
        <v>1.37E-2</v>
      </c>
      <c r="E191" s="3">
        <v>0.32079999999999997</v>
      </c>
      <c r="F191" s="3">
        <v>0.54039999999999999</v>
      </c>
      <c r="G191" s="3">
        <v>0.12509999999999999</v>
      </c>
    </row>
    <row r="192" spans="3:7" x14ac:dyDescent="0.3">
      <c r="C192" s="1">
        <v>50284</v>
      </c>
      <c r="D192" s="3">
        <v>1.37E-2</v>
      </c>
      <c r="E192" s="3">
        <v>0.33119999999999999</v>
      </c>
      <c r="F192" s="3">
        <v>0.4662</v>
      </c>
      <c r="G192" s="3">
        <v>0.18890000000000001</v>
      </c>
    </row>
    <row r="193" spans="3:7" x14ac:dyDescent="0.3">
      <c r="C193" s="1">
        <v>50314</v>
      </c>
      <c r="D193" s="3">
        <v>1.37E-2</v>
      </c>
      <c r="E193" s="3">
        <v>0.35299999999999998</v>
      </c>
      <c r="F193" s="3">
        <v>0.44519999999999998</v>
      </c>
      <c r="G193" s="3">
        <v>0.18809999999999999</v>
      </c>
    </row>
    <row r="194" spans="3:7" x14ac:dyDescent="0.3">
      <c r="C194" s="1">
        <v>50345</v>
      </c>
      <c r="D194" s="3">
        <v>1.37E-2</v>
      </c>
      <c r="E194" s="3">
        <v>0.36409999999999998</v>
      </c>
      <c r="F194" s="3">
        <v>0.45240000000000002</v>
      </c>
      <c r="G194" s="3">
        <v>0.16980000000000001</v>
      </c>
    </row>
    <row r="195" spans="3:7" x14ac:dyDescent="0.3">
      <c r="C195" s="1">
        <v>50375</v>
      </c>
      <c r="D195" s="3">
        <v>1.37E-2</v>
      </c>
      <c r="E195" s="3">
        <v>0.3427</v>
      </c>
      <c r="F195" s="3">
        <v>0.44240000000000002</v>
      </c>
      <c r="G195" s="3">
        <v>0.20119999999999999</v>
      </c>
    </row>
    <row r="196" spans="3:7" x14ac:dyDescent="0.3">
      <c r="C196" s="1">
        <v>50406</v>
      </c>
      <c r="D196" s="3">
        <v>1.37E-2</v>
      </c>
      <c r="E196" s="3">
        <v>0.375</v>
      </c>
      <c r="F196" s="3">
        <v>0.48480000000000001</v>
      </c>
      <c r="G196" s="3">
        <v>0.1265</v>
      </c>
    </row>
    <row r="197" spans="3:7" x14ac:dyDescent="0.3">
      <c r="C197" s="1">
        <v>50437</v>
      </c>
      <c r="D197" s="3">
        <v>1.37E-2</v>
      </c>
      <c r="E197" s="3">
        <v>0.36919999999999997</v>
      </c>
      <c r="F197" s="3">
        <v>0.43680000000000002</v>
      </c>
      <c r="G197" s="3">
        <v>0.18029999999999999</v>
      </c>
    </row>
    <row r="198" spans="3:7" x14ac:dyDescent="0.3">
      <c r="C198" s="1">
        <v>50465</v>
      </c>
      <c r="D198" s="3">
        <v>1.37E-2</v>
      </c>
      <c r="E198" s="3">
        <v>0.34399999999999997</v>
      </c>
      <c r="F198" s="3">
        <v>0.48699999999999999</v>
      </c>
      <c r="G198" s="3">
        <v>0.15529999999999999</v>
      </c>
    </row>
    <row r="199" spans="3:7" x14ac:dyDescent="0.3">
      <c r="C199" s="1">
        <v>50496</v>
      </c>
      <c r="D199" s="3">
        <v>1.37E-2</v>
      </c>
      <c r="E199" s="3">
        <v>0.35270000000000001</v>
      </c>
      <c r="F199" s="3">
        <v>0.5202</v>
      </c>
      <c r="G199" s="3">
        <v>0.1134</v>
      </c>
    </row>
    <row r="200" spans="3:7" x14ac:dyDescent="0.3">
      <c r="C200" s="1">
        <v>50526</v>
      </c>
      <c r="D200" s="3">
        <v>1.37E-2</v>
      </c>
      <c r="E200" s="3">
        <v>0.3377</v>
      </c>
      <c r="F200" s="3">
        <v>0.51739999999999997</v>
      </c>
      <c r="G200" s="3">
        <v>0.13120000000000001</v>
      </c>
    </row>
    <row r="201" spans="3:7" x14ac:dyDescent="0.3">
      <c r="C201" s="1">
        <v>50557</v>
      </c>
      <c r="D201" s="3">
        <v>1.37E-2</v>
      </c>
      <c r="E201" s="3">
        <v>0.31850000000000001</v>
      </c>
      <c r="F201" s="3">
        <v>0.53069999999999995</v>
      </c>
      <c r="G201" s="3">
        <v>0.1371</v>
      </c>
    </row>
    <row r="202" spans="3:7" x14ac:dyDescent="0.3">
      <c r="C202" s="1">
        <v>50587</v>
      </c>
      <c r="D202" s="3">
        <v>1.37E-2</v>
      </c>
      <c r="E202" s="3">
        <v>0.31740000000000002</v>
      </c>
      <c r="F202" s="3">
        <v>0.54059999999999997</v>
      </c>
      <c r="G202" s="3">
        <v>0.1283</v>
      </c>
    </row>
    <row r="203" spans="3:7" x14ac:dyDescent="0.3">
      <c r="C203" s="1">
        <v>50618</v>
      </c>
      <c r="D203" s="3">
        <v>1.37E-2</v>
      </c>
      <c r="E203" s="3">
        <v>0.32150000000000001</v>
      </c>
      <c r="F203" s="3">
        <v>0.54249999999999998</v>
      </c>
      <c r="G203" s="3">
        <v>0.12230000000000001</v>
      </c>
    </row>
    <row r="204" spans="3:7" x14ac:dyDescent="0.3">
      <c r="C204" s="1">
        <v>50649</v>
      </c>
      <c r="D204" s="3">
        <v>1.37E-2</v>
      </c>
      <c r="E204" s="3">
        <v>0.33300000000000002</v>
      </c>
      <c r="F204" s="3">
        <v>0.46870000000000001</v>
      </c>
      <c r="G204" s="3">
        <v>0.18459999999999999</v>
      </c>
    </row>
    <row r="205" spans="3:7" x14ac:dyDescent="0.3">
      <c r="C205" s="1">
        <v>50679</v>
      </c>
      <c r="D205" s="3">
        <v>1.37E-2</v>
      </c>
      <c r="E205" s="3">
        <v>0.35370000000000001</v>
      </c>
      <c r="F205" s="3">
        <v>0.44640000000000002</v>
      </c>
      <c r="G205" s="3">
        <v>0.1862</v>
      </c>
    </row>
    <row r="206" spans="3:7" x14ac:dyDescent="0.3">
      <c r="C206" s="1">
        <v>50710</v>
      </c>
      <c r="D206" s="3">
        <v>1.37E-2</v>
      </c>
      <c r="E206" s="3">
        <v>0.36480000000000001</v>
      </c>
      <c r="F206" s="3">
        <v>0.45340000000000003</v>
      </c>
      <c r="G206" s="3">
        <v>0.1681</v>
      </c>
    </row>
    <row r="207" spans="3:7" x14ac:dyDescent="0.3">
      <c r="C207" s="1">
        <v>50740</v>
      </c>
      <c r="D207" s="3">
        <v>1.37E-2</v>
      </c>
      <c r="E207" s="3">
        <v>0.34350000000000003</v>
      </c>
      <c r="F207" s="3">
        <v>0.44269999999999998</v>
      </c>
      <c r="G207" s="3">
        <v>0.2001</v>
      </c>
    </row>
  </sheetData>
  <mergeCells count="1">
    <mergeCell ref="D1:Q1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6370-E4E0-46D5-90C7-57A01AE00591}">
  <dimension ref="A1:FY236"/>
  <sheetViews>
    <sheetView topLeftCell="A47" workbookViewId="0">
      <selection activeCell="I58" sqref="I58:L72"/>
    </sheetView>
  </sheetViews>
  <sheetFormatPr defaultRowHeight="14.4" x14ac:dyDescent="0.3"/>
  <cols>
    <col min="8" max="8" width="16.77734375" bestFit="1" customWidth="1"/>
    <col min="9" max="19" width="12" bestFit="1" customWidth="1"/>
    <col min="20" max="20" width="7" bestFit="1" customWidth="1"/>
    <col min="21" max="37" width="12" bestFit="1" customWidth="1"/>
    <col min="38" max="38" width="7" bestFit="1" customWidth="1"/>
    <col min="39" max="57" width="12" bestFit="1" customWidth="1"/>
    <col min="58" max="58" width="7" bestFit="1" customWidth="1"/>
    <col min="59" max="64" width="12" bestFit="1" customWidth="1"/>
    <col min="65" max="65" width="7" bestFit="1" customWidth="1"/>
    <col min="66" max="90" width="12" bestFit="1" customWidth="1"/>
    <col min="91" max="91" width="7" bestFit="1" customWidth="1"/>
    <col min="92" max="94" width="12" bestFit="1" customWidth="1"/>
    <col min="95" max="95" width="7" bestFit="1" customWidth="1"/>
    <col min="96" max="111" width="12" bestFit="1" customWidth="1"/>
    <col min="112" max="112" width="7" bestFit="1" customWidth="1"/>
    <col min="113" max="187" width="12" bestFit="1" customWidth="1"/>
    <col min="188" max="188" width="13.6640625" bestFit="1" customWidth="1"/>
    <col min="189" max="189" width="21.33203125" bestFit="1" customWidth="1"/>
    <col min="190" max="190" width="13.6640625" bestFit="1" customWidth="1"/>
    <col min="191" max="191" width="21.33203125" bestFit="1" customWidth="1"/>
    <col min="192" max="192" width="13.6640625" bestFit="1" customWidth="1"/>
    <col min="193" max="193" width="21.33203125" bestFit="1" customWidth="1"/>
    <col min="194" max="194" width="13.6640625" bestFit="1" customWidth="1"/>
    <col min="195" max="195" width="21.33203125" bestFit="1" customWidth="1"/>
    <col min="196" max="196" width="13.6640625" bestFit="1" customWidth="1"/>
    <col min="197" max="197" width="21.33203125" bestFit="1" customWidth="1"/>
    <col min="198" max="198" width="13.6640625" bestFit="1" customWidth="1"/>
    <col min="199" max="199" width="21.33203125" bestFit="1" customWidth="1"/>
    <col min="200" max="200" width="13.6640625" bestFit="1" customWidth="1"/>
    <col min="201" max="201" width="21.33203125" bestFit="1" customWidth="1"/>
    <col min="202" max="202" width="13.6640625" bestFit="1" customWidth="1"/>
    <col min="203" max="203" width="21.33203125" bestFit="1" customWidth="1"/>
    <col min="204" max="204" width="12" bestFit="1" customWidth="1"/>
    <col min="205" max="205" width="11" bestFit="1" customWidth="1"/>
    <col min="206" max="206" width="13.6640625" bestFit="1" customWidth="1"/>
    <col min="207" max="207" width="21.33203125" bestFit="1" customWidth="1"/>
    <col min="208" max="208" width="12" bestFit="1" customWidth="1"/>
    <col min="209" max="209" width="11" bestFit="1" customWidth="1"/>
    <col min="210" max="210" width="13.6640625" bestFit="1" customWidth="1"/>
    <col min="211" max="211" width="21.33203125" bestFit="1" customWidth="1"/>
    <col min="212" max="212" width="13.6640625" bestFit="1" customWidth="1"/>
    <col min="213" max="213" width="21.33203125" bestFit="1" customWidth="1"/>
    <col min="214" max="214" width="13.6640625" bestFit="1" customWidth="1"/>
    <col min="215" max="215" width="21.33203125" bestFit="1" customWidth="1"/>
    <col min="216" max="216" width="13.6640625" bestFit="1" customWidth="1"/>
    <col min="217" max="217" width="21.33203125" bestFit="1" customWidth="1"/>
    <col min="218" max="218" width="13.6640625" bestFit="1" customWidth="1"/>
    <col min="219" max="219" width="21.33203125" bestFit="1" customWidth="1"/>
    <col min="220" max="220" width="13.6640625" bestFit="1" customWidth="1"/>
    <col min="221" max="221" width="21.33203125" bestFit="1" customWidth="1"/>
    <col min="222" max="222" width="12" bestFit="1" customWidth="1"/>
    <col min="223" max="223" width="11" bestFit="1" customWidth="1"/>
    <col min="224" max="224" width="13.6640625" bestFit="1" customWidth="1"/>
    <col min="225" max="225" width="21.33203125" bestFit="1" customWidth="1"/>
    <col min="226" max="226" width="13.6640625" bestFit="1" customWidth="1"/>
    <col min="227" max="227" width="21.33203125" bestFit="1" customWidth="1"/>
    <col min="228" max="228" width="13.6640625" bestFit="1" customWidth="1"/>
    <col min="229" max="229" width="21.33203125" bestFit="1" customWidth="1"/>
    <col min="230" max="230" width="13.6640625" bestFit="1" customWidth="1"/>
    <col min="231" max="231" width="21.33203125" bestFit="1" customWidth="1"/>
    <col min="232" max="232" width="13.6640625" bestFit="1" customWidth="1"/>
    <col min="233" max="233" width="21.33203125" bestFit="1" customWidth="1"/>
    <col min="234" max="234" width="13.6640625" bestFit="1" customWidth="1"/>
    <col min="235" max="235" width="21.33203125" bestFit="1" customWidth="1"/>
    <col min="236" max="236" width="13.6640625" bestFit="1" customWidth="1"/>
    <col min="237" max="237" width="21.33203125" bestFit="1" customWidth="1"/>
    <col min="238" max="238" width="12" bestFit="1" customWidth="1"/>
    <col min="239" max="239" width="11" bestFit="1" customWidth="1"/>
    <col min="240" max="240" width="13.6640625" bestFit="1" customWidth="1"/>
    <col min="241" max="241" width="21.33203125" bestFit="1" customWidth="1"/>
    <col min="242" max="242" width="13.6640625" bestFit="1" customWidth="1"/>
    <col min="243" max="243" width="21.33203125" bestFit="1" customWidth="1"/>
    <col min="244" max="244" width="13.6640625" bestFit="1" customWidth="1"/>
    <col min="245" max="245" width="21.33203125" bestFit="1" customWidth="1"/>
    <col min="246" max="246" width="13.6640625" bestFit="1" customWidth="1"/>
    <col min="247" max="247" width="21.33203125" bestFit="1" customWidth="1"/>
    <col min="248" max="248" width="13.6640625" bestFit="1" customWidth="1"/>
    <col min="249" max="249" width="21.33203125" bestFit="1" customWidth="1"/>
    <col min="250" max="250" width="13.6640625" bestFit="1" customWidth="1"/>
    <col min="251" max="251" width="21.33203125" bestFit="1" customWidth="1"/>
    <col min="252" max="252" width="13.6640625" bestFit="1" customWidth="1"/>
    <col min="253" max="253" width="21.33203125" bestFit="1" customWidth="1"/>
    <col min="254" max="254" width="13.6640625" bestFit="1" customWidth="1"/>
    <col min="255" max="255" width="21.33203125" bestFit="1" customWidth="1"/>
    <col min="256" max="256" width="8.6640625" bestFit="1" customWidth="1"/>
    <col min="257" max="257" width="11" bestFit="1" customWidth="1"/>
    <col min="258" max="258" width="13.6640625" bestFit="1" customWidth="1"/>
    <col min="259" max="259" width="21.33203125" bestFit="1" customWidth="1"/>
    <col min="260" max="260" width="13.6640625" bestFit="1" customWidth="1"/>
    <col min="261" max="261" width="21.33203125" bestFit="1" customWidth="1"/>
    <col min="262" max="262" width="13.6640625" bestFit="1" customWidth="1"/>
    <col min="263" max="263" width="21.33203125" bestFit="1" customWidth="1"/>
    <col min="264" max="264" width="13.6640625" bestFit="1" customWidth="1"/>
    <col min="265" max="265" width="21.33203125" bestFit="1" customWidth="1"/>
    <col min="266" max="266" width="13.6640625" bestFit="1" customWidth="1"/>
    <col min="267" max="267" width="21.33203125" bestFit="1" customWidth="1"/>
    <col min="268" max="268" width="13.6640625" bestFit="1" customWidth="1"/>
    <col min="269" max="269" width="21.33203125" bestFit="1" customWidth="1"/>
    <col min="270" max="270" width="12" bestFit="1" customWidth="1"/>
    <col min="271" max="271" width="11" bestFit="1" customWidth="1"/>
    <col min="272" max="272" width="13.6640625" bestFit="1" customWidth="1"/>
    <col min="273" max="273" width="21.33203125" bestFit="1" customWidth="1"/>
    <col min="274" max="274" width="13.6640625" bestFit="1" customWidth="1"/>
    <col min="275" max="275" width="21.33203125" bestFit="1" customWidth="1"/>
    <col min="276" max="276" width="13.6640625" bestFit="1" customWidth="1"/>
    <col min="277" max="277" width="21.33203125" bestFit="1" customWidth="1"/>
    <col min="278" max="278" width="13.6640625" bestFit="1" customWidth="1"/>
    <col min="279" max="279" width="21.33203125" bestFit="1" customWidth="1"/>
    <col min="280" max="280" width="13.6640625" bestFit="1" customWidth="1"/>
    <col min="281" max="281" width="21.33203125" bestFit="1" customWidth="1"/>
    <col min="282" max="282" width="13.6640625" bestFit="1" customWidth="1"/>
    <col min="283" max="283" width="21.33203125" bestFit="1" customWidth="1"/>
    <col min="284" max="284" width="13.6640625" bestFit="1" customWidth="1"/>
    <col min="285" max="285" width="21.33203125" bestFit="1" customWidth="1"/>
    <col min="286" max="286" width="13.6640625" bestFit="1" customWidth="1"/>
    <col min="287" max="287" width="21.33203125" bestFit="1" customWidth="1"/>
    <col min="288" max="288" width="12" bestFit="1" customWidth="1"/>
    <col min="289" max="289" width="11" bestFit="1" customWidth="1"/>
    <col min="290" max="290" width="13.6640625" bestFit="1" customWidth="1"/>
    <col min="291" max="291" width="21.33203125" bestFit="1" customWidth="1"/>
    <col min="292" max="292" width="13.6640625" bestFit="1" customWidth="1"/>
    <col min="293" max="293" width="21.33203125" bestFit="1" customWidth="1"/>
    <col min="294" max="294" width="13.6640625" bestFit="1" customWidth="1"/>
    <col min="295" max="295" width="21.33203125" bestFit="1" customWidth="1"/>
    <col min="296" max="296" width="12" bestFit="1" customWidth="1"/>
    <col min="297" max="297" width="11" bestFit="1" customWidth="1"/>
    <col min="298" max="298" width="13.6640625" bestFit="1" customWidth="1"/>
    <col min="299" max="299" width="21.33203125" bestFit="1" customWidth="1"/>
    <col min="300" max="300" width="12" bestFit="1" customWidth="1"/>
    <col min="301" max="301" width="11" bestFit="1" customWidth="1"/>
    <col min="302" max="302" width="13.6640625" bestFit="1" customWidth="1"/>
    <col min="303" max="303" width="21.33203125" bestFit="1" customWidth="1"/>
    <col min="304" max="304" width="12" bestFit="1" customWidth="1"/>
    <col min="305" max="305" width="11" bestFit="1" customWidth="1"/>
    <col min="306" max="306" width="13.6640625" bestFit="1" customWidth="1"/>
    <col min="307" max="307" width="21.33203125" bestFit="1" customWidth="1"/>
    <col min="308" max="308" width="12" bestFit="1" customWidth="1"/>
    <col min="309" max="309" width="11" bestFit="1" customWidth="1"/>
    <col min="310" max="310" width="13.6640625" bestFit="1" customWidth="1"/>
    <col min="311" max="311" width="21.33203125" bestFit="1" customWidth="1"/>
    <col min="312" max="312" width="12" bestFit="1" customWidth="1"/>
    <col min="313" max="313" width="11" bestFit="1" customWidth="1"/>
    <col min="314" max="314" width="12" bestFit="1" customWidth="1"/>
    <col min="315" max="315" width="11" bestFit="1" customWidth="1"/>
    <col min="316" max="316" width="13.6640625" bestFit="1" customWidth="1"/>
    <col min="317" max="317" width="21.33203125" bestFit="1" customWidth="1"/>
    <col min="318" max="318" width="12" bestFit="1" customWidth="1"/>
    <col min="319" max="319" width="11" bestFit="1" customWidth="1"/>
    <col min="320" max="320" width="13.6640625" bestFit="1" customWidth="1"/>
    <col min="321" max="321" width="21.33203125" bestFit="1" customWidth="1"/>
    <col min="322" max="322" width="13.6640625" bestFit="1" customWidth="1"/>
    <col min="323" max="323" width="21.33203125" bestFit="1" customWidth="1"/>
    <col min="324" max="324" width="13.6640625" bestFit="1" customWidth="1"/>
    <col min="325" max="325" width="21.33203125" bestFit="1" customWidth="1"/>
    <col min="326" max="326" width="13.6640625" bestFit="1" customWidth="1"/>
    <col min="327" max="327" width="21.33203125" bestFit="1" customWidth="1"/>
    <col min="328" max="328" width="13.6640625" bestFit="1" customWidth="1"/>
    <col min="329" max="329" width="21.33203125" bestFit="1" customWidth="1"/>
    <col min="330" max="330" width="13.6640625" bestFit="1" customWidth="1"/>
    <col min="331" max="331" width="21.33203125" bestFit="1" customWidth="1"/>
    <col min="332" max="332" width="13.6640625" bestFit="1" customWidth="1"/>
    <col min="333" max="333" width="21.33203125" bestFit="1" customWidth="1"/>
    <col min="334" max="334" width="13.6640625" bestFit="1" customWidth="1"/>
    <col min="335" max="335" width="21.33203125" bestFit="1" customWidth="1"/>
    <col min="336" max="336" width="13.6640625" bestFit="1" customWidth="1"/>
    <col min="337" max="337" width="21.33203125" bestFit="1" customWidth="1"/>
    <col min="338" max="338" width="13.6640625" bestFit="1" customWidth="1"/>
    <col min="339" max="339" width="21.33203125" bestFit="1" customWidth="1"/>
    <col min="340" max="340" width="13.6640625" bestFit="1" customWidth="1"/>
    <col min="341" max="341" width="21.33203125" bestFit="1" customWidth="1"/>
    <col min="342" max="342" width="13.6640625" bestFit="1" customWidth="1"/>
    <col min="343" max="343" width="21.33203125" bestFit="1" customWidth="1"/>
    <col min="344" max="344" width="13.6640625" bestFit="1" customWidth="1"/>
    <col min="345" max="345" width="21.33203125" bestFit="1" customWidth="1"/>
    <col min="346" max="346" width="13.6640625" bestFit="1" customWidth="1"/>
    <col min="347" max="347" width="21.33203125" bestFit="1" customWidth="1"/>
    <col min="348" max="348" width="13.6640625" bestFit="1" customWidth="1"/>
    <col min="349" max="349" width="21.33203125" bestFit="1" customWidth="1"/>
    <col min="350" max="350" width="13.6640625" bestFit="1" customWidth="1"/>
    <col min="351" max="351" width="21.33203125" bestFit="1" customWidth="1"/>
    <col min="352" max="352" width="13.6640625" bestFit="1" customWidth="1"/>
    <col min="353" max="353" width="21.33203125" bestFit="1" customWidth="1"/>
    <col min="354" max="354" width="13.6640625" bestFit="1" customWidth="1"/>
    <col min="355" max="355" width="21.33203125" bestFit="1" customWidth="1"/>
    <col min="356" max="356" width="13.6640625" bestFit="1" customWidth="1"/>
    <col min="357" max="357" width="21.33203125" bestFit="1" customWidth="1"/>
    <col min="358" max="358" width="13.6640625" bestFit="1" customWidth="1"/>
    <col min="359" max="359" width="21.33203125" bestFit="1" customWidth="1"/>
    <col min="360" max="360" width="12" bestFit="1" customWidth="1"/>
    <col min="361" max="361" width="11" bestFit="1" customWidth="1"/>
    <col min="362" max="362" width="13.6640625" bestFit="1" customWidth="1"/>
    <col min="363" max="363" width="21.33203125" bestFit="1" customWidth="1"/>
    <col min="364" max="364" width="13.6640625" bestFit="1" customWidth="1"/>
    <col min="365" max="365" width="21.33203125" bestFit="1" customWidth="1"/>
    <col min="366" max="366" width="13.6640625" bestFit="1" customWidth="1"/>
    <col min="367" max="367" width="21.33203125" bestFit="1" customWidth="1"/>
    <col min="368" max="368" width="10" bestFit="1" customWidth="1"/>
  </cols>
  <sheetData>
    <row r="1" spans="1:181" x14ac:dyDescent="0.3">
      <c r="A1" t="s">
        <v>0</v>
      </c>
    </row>
    <row r="2" spans="1:181" x14ac:dyDescent="0.3">
      <c r="A2" s="4">
        <v>1</v>
      </c>
      <c r="B2" s="1">
        <v>45292</v>
      </c>
      <c r="C2" s="1">
        <v>45323</v>
      </c>
      <c r="D2" s="1">
        <v>45352</v>
      </c>
      <c r="E2" s="1">
        <v>45383</v>
      </c>
      <c r="F2" s="1">
        <v>45413</v>
      </c>
      <c r="G2" s="1">
        <v>45444</v>
      </c>
      <c r="H2" s="1">
        <v>45474</v>
      </c>
      <c r="I2" s="1">
        <v>45505</v>
      </c>
      <c r="J2" s="1">
        <v>45536</v>
      </c>
      <c r="K2" s="1">
        <v>45566</v>
      </c>
      <c r="L2" s="1">
        <v>45597</v>
      </c>
      <c r="M2" s="1">
        <v>45627</v>
      </c>
      <c r="N2" s="1">
        <v>45658</v>
      </c>
      <c r="O2" s="1">
        <v>45689</v>
      </c>
      <c r="P2" s="1">
        <v>45717</v>
      </c>
      <c r="Q2" s="1">
        <v>45748</v>
      </c>
      <c r="R2" s="1">
        <v>45778</v>
      </c>
      <c r="S2" s="1">
        <v>45809</v>
      </c>
      <c r="T2" s="1">
        <v>45839</v>
      </c>
      <c r="U2" s="1">
        <v>45870</v>
      </c>
      <c r="V2" s="1">
        <v>45901</v>
      </c>
      <c r="W2" s="1">
        <v>45931</v>
      </c>
      <c r="X2" s="1">
        <v>45962</v>
      </c>
      <c r="Y2" s="1">
        <v>45992</v>
      </c>
      <c r="Z2" s="1">
        <v>46023</v>
      </c>
      <c r="AA2" s="1">
        <v>46054</v>
      </c>
      <c r="AB2" s="1">
        <v>46082</v>
      </c>
      <c r="AC2" s="1">
        <v>46113</v>
      </c>
      <c r="AD2" s="1">
        <v>46143</v>
      </c>
      <c r="AE2" s="1">
        <v>46174</v>
      </c>
      <c r="AF2" s="1">
        <v>46204</v>
      </c>
      <c r="AG2" s="1">
        <v>46235</v>
      </c>
      <c r="AH2" s="1">
        <v>46266</v>
      </c>
      <c r="AI2" s="1">
        <v>46296</v>
      </c>
      <c r="AJ2" s="1">
        <v>46327</v>
      </c>
      <c r="AK2" s="1">
        <v>46357</v>
      </c>
      <c r="AL2" s="1">
        <v>46388</v>
      </c>
      <c r="AM2" s="1">
        <v>46419</v>
      </c>
      <c r="AN2" s="1">
        <v>46447</v>
      </c>
      <c r="AO2" s="1">
        <v>46478</v>
      </c>
      <c r="AP2" s="1">
        <v>46508</v>
      </c>
      <c r="AQ2" s="1">
        <v>46539</v>
      </c>
      <c r="AR2" s="1">
        <v>46569</v>
      </c>
      <c r="AS2" s="1">
        <v>46600</v>
      </c>
      <c r="AT2" s="1">
        <v>46631</v>
      </c>
      <c r="AU2" s="1">
        <v>46661</v>
      </c>
      <c r="AV2" s="1">
        <v>46692</v>
      </c>
      <c r="AW2" s="1">
        <v>46722</v>
      </c>
      <c r="AX2" s="1">
        <v>46753</v>
      </c>
      <c r="AY2" s="1">
        <v>46784</v>
      </c>
      <c r="AZ2" s="1">
        <v>46813</v>
      </c>
      <c r="BA2" s="1">
        <v>46844</v>
      </c>
      <c r="BB2" s="1">
        <v>46874</v>
      </c>
      <c r="BC2" s="1">
        <v>46905</v>
      </c>
      <c r="BD2" s="1">
        <v>46935</v>
      </c>
      <c r="BE2" s="1">
        <v>46966</v>
      </c>
      <c r="BF2" s="1">
        <v>46997</v>
      </c>
      <c r="BG2" s="1">
        <v>47027</v>
      </c>
      <c r="BH2" s="1">
        <v>47058</v>
      </c>
      <c r="BI2" s="1">
        <v>47088</v>
      </c>
      <c r="BJ2" s="1">
        <v>47119</v>
      </c>
      <c r="BK2" s="1">
        <v>47150</v>
      </c>
      <c r="BL2" s="1">
        <v>47178</v>
      </c>
      <c r="BM2" s="1">
        <v>47209</v>
      </c>
      <c r="BN2" s="1">
        <v>47239</v>
      </c>
      <c r="BO2" s="1">
        <v>47270</v>
      </c>
      <c r="BP2" s="1">
        <v>47300</v>
      </c>
      <c r="BQ2" s="1">
        <v>47331</v>
      </c>
      <c r="BR2" s="1">
        <v>47362</v>
      </c>
      <c r="BS2" s="1">
        <v>47392</v>
      </c>
      <c r="BT2" s="1">
        <v>47423</v>
      </c>
      <c r="BU2" s="1">
        <v>47453</v>
      </c>
      <c r="BV2" s="1">
        <v>47484</v>
      </c>
      <c r="BW2" s="1">
        <v>47515</v>
      </c>
      <c r="BX2" s="1">
        <v>47543</v>
      </c>
      <c r="BY2" s="1">
        <v>47574</v>
      </c>
      <c r="BZ2" s="1">
        <v>47604</v>
      </c>
      <c r="CA2" s="1">
        <v>47635</v>
      </c>
      <c r="CB2" s="1">
        <v>47665</v>
      </c>
      <c r="CC2" s="1">
        <v>47696</v>
      </c>
      <c r="CD2" s="1">
        <v>47727</v>
      </c>
      <c r="CE2" s="1">
        <v>47757</v>
      </c>
      <c r="CF2" s="1">
        <v>47788</v>
      </c>
      <c r="CG2" s="1">
        <v>47818</v>
      </c>
      <c r="CH2" s="1">
        <v>47849</v>
      </c>
      <c r="CI2" s="1">
        <v>47880</v>
      </c>
      <c r="CJ2" s="1">
        <v>47908</v>
      </c>
      <c r="CK2" s="1">
        <v>47939</v>
      </c>
      <c r="CL2" s="1">
        <v>47969</v>
      </c>
      <c r="CM2" s="1">
        <v>48000</v>
      </c>
      <c r="CN2" s="1">
        <v>48030</v>
      </c>
      <c r="CO2" s="1">
        <v>48061</v>
      </c>
      <c r="CP2" s="1">
        <v>48092</v>
      </c>
      <c r="CQ2" s="1">
        <v>48122</v>
      </c>
      <c r="CR2" s="1">
        <v>48153</v>
      </c>
      <c r="CS2" s="1">
        <v>48183</v>
      </c>
      <c r="CT2" s="1">
        <v>48214</v>
      </c>
      <c r="CU2" s="1">
        <v>48245</v>
      </c>
      <c r="CV2" s="1">
        <v>48274</v>
      </c>
      <c r="CW2" s="1">
        <v>48305</v>
      </c>
      <c r="CX2" s="1">
        <v>48335</v>
      </c>
      <c r="CY2" s="1">
        <v>48366</v>
      </c>
      <c r="CZ2" s="1">
        <v>48396</v>
      </c>
      <c r="DA2" s="1">
        <v>48427</v>
      </c>
      <c r="DB2" s="1">
        <v>48458</v>
      </c>
      <c r="DC2" s="1">
        <v>48488</v>
      </c>
      <c r="DD2" s="1">
        <v>48519</v>
      </c>
      <c r="DE2" s="1">
        <v>48549</v>
      </c>
      <c r="DF2" s="1">
        <v>48580</v>
      </c>
      <c r="DG2" s="1">
        <v>48611</v>
      </c>
      <c r="DH2" s="1">
        <v>48639</v>
      </c>
      <c r="DI2" s="1">
        <v>48670</v>
      </c>
      <c r="DJ2" s="1">
        <v>48700</v>
      </c>
      <c r="DK2" s="1">
        <v>48731</v>
      </c>
      <c r="DL2" s="1">
        <v>48761</v>
      </c>
      <c r="DM2" s="1">
        <v>48792</v>
      </c>
      <c r="DN2" s="1">
        <v>48823</v>
      </c>
      <c r="DO2" s="1">
        <v>48853</v>
      </c>
      <c r="DP2" s="1">
        <v>48884</v>
      </c>
      <c r="DQ2" s="1">
        <v>48914</v>
      </c>
      <c r="DR2" s="1">
        <v>48945</v>
      </c>
      <c r="DS2" s="1">
        <v>48976</v>
      </c>
      <c r="DT2" s="1">
        <v>49004</v>
      </c>
      <c r="DU2" s="1">
        <v>49035</v>
      </c>
      <c r="DV2" s="1">
        <v>49065</v>
      </c>
      <c r="DW2" s="1">
        <v>49096</v>
      </c>
      <c r="DX2" s="1">
        <v>49126</v>
      </c>
      <c r="DY2" s="1">
        <v>49157</v>
      </c>
      <c r="DZ2" s="1">
        <v>49188</v>
      </c>
      <c r="EA2" s="1">
        <v>49218</v>
      </c>
      <c r="EB2" s="1">
        <v>49249</v>
      </c>
      <c r="EC2" s="1">
        <v>49279</v>
      </c>
      <c r="ED2" s="1">
        <v>49310</v>
      </c>
      <c r="EE2" s="1">
        <v>49341</v>
      </c>
      <c r="EF2" s="1">
        <v>49369</v>
      </c>
      <c r="EG2" s="1">
        <v>49400</v>
      </c>
      <c r="EH2" s="1">
        <v>49430</v>
      </c>
      <c r="EI2" s="1">
        <v>49461</v>
      </c>
      <c r="EJ2" s="1">
        <v>49491</v>
      </c>
      <c r="EK2" s="1">
        <v>49522</v>
      </c>
      <c r="EL2" s="1">
        <v>49553</v>
      </c>
      <c r="EM2" s="1">
        <v>49583</v>
      </c>
      <c r="EN2" s="1">
        <v>49614</v>
      </c>
      <c r="EO2" s="1">
        <v>49644</v>
      </c>
      <c r="EP2" s="1">
        <v>49675</v>
      </c>
      <c r="EQ2" s="1">
        <v>49706</v>
      </c>
      <c r="ER2" s="1">
        <v>49735</v>
      </c>
      <c r="ES2" s="1">
        <v>49766</v>
      </c>
      <c r="ET2" s="1">
        <v>49796</v>
      </c>
      <c r="EU2" s="1">
        <v>49827</v>
      </c>
      <c r="EV2" s="1">
        <v>49857</v>
      </c>
      <c r="EW2" s="1">
        <v>49888</v>
      </c>
      <c r="EX2" s="1">
        <v>49919</v>
      </c>
      <c r="EY2" s="1">
        <v>49949</v>
      </c>
      <c r="EZ2" s="1">
        <v>49980</v>
      </c>
      <c r="FA2" s="1">
        <v>50010</v>
      </c>
      <c r="FB2" s="1">
        <v>50041</v>
      </c>
      <c r="FC2" s="1">
        <v>50072</v>
      </c>
      <c r="FD2" s="1">
        <v>50100</v>
      </c>
      <c r="FE2" s="1">
        <v>50131</v>
      </c>
      <c r="FF2" s="1">
        <v>50161</v>
      </c>
      <c r="FG2" s="1">
        <v>50192</v>
      </c>
      <c r="FH2" s="1">
        <v>50222</v>
      </c>
      <c r="FI2" s="1">
        <v>50253</v>
      </c>
      <c r="FJ2" s="1">
        <v>50284</v>
      </c>
      <c r="FK2" s="1">
        <v>50314</v>
      </c>
      <c r="FL2" s="1">
        <v>50345</v>
      </c>
      <c r="FM2" s="1">
        <v>50375</v>
      </c>
      <c r="FN2" s="1">
        <v>50406</v>
      </c>
      <c r="FO2" s="1">
        <v>50437</v>
      </c>
      <c r="FP2" s="1">
        <v>50465</v>
      </c>
      <c r="FQ2" s="1">
        <v>50496</v>
      </c>
      <c r="FR2" s="1">
        <v>50526</v>
      </c>
      <c r="FS2" s="1">
        <v>50557</v>
      </c>
      <c r="FT2" s="1">
        <v>50587</v>
      </c>
      <c r="FU2" s="1">
        <v>50618</v>
      </c>
      <c r="FV2" s="1">
        <v>50649</v>
      </c>
      <c r="FW2" s="1">
        <v>50679</v>
      </c>
      <c r="FX2" s="1">
        <v>50710</v>
      </c>
      <c r="FY2" s="1">
        <v>50740</v>
      </c>
    </row>
    <row r="3" spans="1:181" x14ac:dyDescent="0.3">
      <c r="A3" s="2">
        <v>1</v>
      </c>
      <c r="B3" s="5">
        <v>1.3753</v>
      </c>
      <c r="C3" s="5">
        <v>1.3763000000000001</v>
      </c>
      <c r="D3" s="5">
        <v>1.3895</v>
      </c>
      <c r="E3" s="5">
        <v>1.4972000000000001</v>
      </c>
      <c r="F3" s="5">
        <v>1.6512</v>
      </c>
      <c r="G3" s="5">
        <v>1.6282000000000001</v>
      </c>
      <c r="H3" s="5">
        <v>1.6285000000000001</v>
      </c>
      <c r="I3" s="5">
        <v>1.6121000000000001</v>
      </c>
      <c r="J3" s="5">
        <v>1.5302</v>
      </c>
      <c r="K3" s="5">
        <v>1.4798</v>
      </c>
      <c r="L3" s="5">
        <v>1.5261</v>
      </c>
      <c r="M3" s="5">
        <v>1.4608000000000001</v>
      </c>
      <c r="N3" s="5">
        <v>1.4008</v>
      </c>
      <c r="O3" s="5">
        <v>1.3936999999999999</v>
      </c>
      <c r="P3" s="5">
        <v>1.4377</v>
      </c>
      <c r="Q3" s="5">
        <v>1.5374000000000001</v>
      </c>
      <c r="R3" s="5">
        <v>1.6929000000000001</v>
      </c>
      <c r="S3" s="5">
        <v>1.6681999999999999</v>
      </c>
      <c r="T3" s="5">
        <v>1.6701999999999999</v>
      </c>
      <c r="U3" s="5">
        <v>1.653</v>
      </c>
      <c r="V3" s="5">
        <v>1.5613999999999999</v>
      </c>
      <c r="W3" s="5">
        <v>1.5017</v>
      </c>
      <c r="X3" s="5">
        <v>1.5446</v>
      </c>
      <c r="Y3" s="5">
        <v>1.4773000000000001</v>
      </c>
      <c r="Z3" s="5">
        <v>1.4137</v>
      </c>
      <c r="AA3" s="5">
        <v>1.4012</v>
      </c>
      <c r="AB3" s="5">
        <v>1.4429000000000001</v>
      </c>
      <c r="AC3" s="5">
        <v>1.5411999999999999</v>
      </c>
      <c r="AD3" s="5">
        <v>1.694</v>
      </c>
      <c r="AE3" s="5">
        <v>1.6697</v>
      </c>
      <c r="AF3" s="5">
        <v>1.673</v>
      </c>
      <c r="AG3" s="5">
        <v>1.6547000000000001</v>
      </c>
      <c r="AH3" s="5">
        <v>1.5611999999999999</v>
      </c>
      <c r="AI3" s="5">
        <v>1.5015000000000001</v>
      </c>
      <c r="AJ3" s="5">
        <v>1.5447</v>
      </c>
      <c r="AK3" s="5">
        <v>1.4789000000000001</v>
      </c>
      <c r="AL3" s="5">
        <v>1.4147000000000001</v>
      </c>
      <c r="AM3" s="5">
        <v>1.4024000000000001</v>
      </c>
      <c r="AN3" s="5">
        <v>1.4432</v>
      </c>
      <c r="AO3" s="5">
        <v>1.5407999999999999</v>
      </c>
      <c r="AP3" s="5">
        <v>1.6915</v>
      </c>
      <c r="AQ3" s="5">
        <v>1.6675</v>
      </c>
      <c r="AR3" s="5">
        <v>1.6693</v>
      </c>
      <c r="AS3" s="5">
        <v>1.6525000000000001</v>
      </c>
      <c r="AT3" s="5">
        <v>1.5584</v>
      </c>
      <c r="AU3" s="5">
        <v>1.4984999999999999</v>
      </c>
      <c r="AV3" s="5">
        <v>1.5415000000000001</v>
      </c>
      <c r="AW3" s="5">
        <v>1.4782999999999999</v>
      </c>
      <c r="AX3" s="5">
        <v>1.4301999999999999</v>
      </c>
      <c r="AY3" s="5">
        <v>1.4144000000000001</v>
      </c>
      <c r="AZ3" s="5">
        <v>1.4258999999999999</v>
      </c>
      <c r="BA3" s="5">
        <v>1.5363</v>
      </c>
      <c r="BB3" s="5">
        <v>1.6849000000000001</v>
      </c>
      <c r="BC3" s="5">
        <v>1.6618999999999999</v>
      </c>
      <c r="BD3" s="5">
        <v>1.6635</v>
      </c>
      <c r="BE3" s="5">
        <v>1.6484000000000001</v>
      </c>
      <c r="BF3" s="5">
        <v>1.5537000000000001</v>
      </c>
      <c r="BG3" s="5">
        <v>1.4937</v>
      </c>
      <c r="BH3" s="5">
        <v>1.5364</v>
      </c>
      <c r="BI3" s="5">
        <v>1.4759</v>
      </c>
      <c r="BJ3" s="5">
        <v>1.4279999999999999</v>
      </c>
      <c r="BK3" s="5">
        <v>1.3996</v>
      </c>
      <c r="BL3" s="5">
        <v>1.4389000000000001</v>
      </c>
      <c r="BM3" s="5">
        <v>1.532</v>
      </c>
      <c r="BN3" s="5">
        <v>1.6776</v>
      </c>
      <c r="BO3" s="5">
        <v>1.6566000000000001</v>
      </c>
      <c r="BP3" s="5">
        <v>1.6585000000000001</v>
      </c>
      <c r="BQ3" s="5">
        <v>1.6446000000000001</v>
      </c>
      <c r="BR3" s="5">
        <v>1.5491999999999999</v>
      </c>
      <c r="BS3" s="5">
        <v>1.4890000000000001</v>
      </c>
      <c r="BT3" s="5">
        <v>1.5307999999999999</v>
      </c>
      <c r="BU3" s="5">
        <v>1.4734</v>
      </c>
      <c r="BV3" s="5">
        <v>1.4256</v>
      </c>
      <c r="BW3" s="5">
        <v>1.3972</v>
      </c>
      <c r="BX3" s="5">
        <v>1.4358</v>
      </c>
      <c r="BY3" s="5">
        <v>1.5274000000000001</v>
      </c>
      <c r="BZ3" s="5">
        <v>1.6709000000000001</v>
      </c>
      <c r="CA3" s="5">
        <v>1.6513</v>
      </c>
      <c r="CB3" s="5">
        <v>1.6531</v>
      </c>
      <c r="CC3" s="5">
        <v>1.6406000000000001</v>
      </c>
      <c r="CD3" s="5">
        <v>1.5446</v>
      </c>
      <c r="CE3" s="5">
        <v>1.4839</v>
      </c>
      <c r="CF3" s="5">
        <v>1.5250999999999999</v>
      </c>
      <c r="CG3" s="5">
        <v>1.4702999999999999</v>
      </c>
      <c r="CH3" s="5">
        <v>1.4222999999999999</v>
      </c>
      <c r="CI3" s="5">
        <v>1.3935999999999999</v>
      </c>
      <c r="CJ3" s="5">
        <v>1.4313</v>
      </c>
      <c r="CK3" s="5">
        <v>1.5210999999999999</v>
      </c>
      <c r="CL3" s="5">
        <v>1.6620999999999999</v>
      </c>
      <c r="CM3" s="5">
        <v>1.6443000000000001</v>
      </c>
      <c r="CN3" s="5">
        <v>1.6456</v>
      </c>
      <c r="CO3" s="5">
        <v>1.6339999999999999</v>
      </c>
      <c r="CP3" s="5">
        <v>1.5371999999999999</v>
      </c>
      <c r="CQ3" s="5">
        <v>1.4761</v>
      </c>
      <c r="CR3" s="5">
        <v>1.5425</v>
      </c>
      <c r="CS3" s="5">
        <v>1.4641999999999999</v>
      </c>
      <c r="CT3" s="5">
        <v>1.4171</v>
      </c>
      <c r="CU3" s="5">
        <v>1.3996999999999999</v>
      </c>
      <c r="CV3" s="5">
        <v>1.4106000000000001</v>
      </c>
      <c r="CW3" s="5">
        <v>1.5133000000000001</v>
      </c>
      <c r="CX3" s="5">
        <v>1.6520999999999999</v>
      </c>
      <c r="CY3" s="5">
        <v>1.6364000000000001</v>
      </c>
      <c r="CZ3" s="5">
        <v>1.6374</v>
      </c>
      <c r="DA3" s="5">
        <v>1.6267</v>
      </c>
      <c r="DB3" s="5">
        <v>1.5295000000000001</v>
      </c>
      <c r="DC3" s="5">
        <v>1.4681999999999999</v>
      </c>
      <c r="DD3" s="5">
        <v>1.5344</v>
      </c>
      <c r="DE3" s="5">
        <v>1.4581</v>
      </c>
      <c r="DF3" s="5">
        <v>1.4116</v>
      </c>
      <c r="DG3" s="5">
        <v>1.3822000000000001</v>
      </c>
      <c r="DH3" s="5">
        <v>1.4189000000000001</v>
      </c>
      <c r="DI3" s="5">
        <v>1.5048999999999999</v>
      </c>
      <c r="DJ3" s="5">
        <v>1.6413</v>
      </c>
      <c r="DK3" s="5">
        <v>1.6277999999999999</v>
      </c>
      <c r="DL3" s="5">
        <v>1.6286</v>
      </c>
      <c r="DM3" s="5">
        <v>1.6187</v>
      </c>
      <c r="DN3" s="5">
        <v>1.5213000000000001</v>
      </c>
      <c r="DO3" s="5">
        <v>1.4598</v>
      </c>
      <c r="DP3" s="5">
        <v>1.5257000000000001</v>
      </c>
      <c r="DQ3" s="5">
        <v>1.4516</v>
      </c>
      <c r="DR3" s="5">
        <v>1.4056999999999999</v>
      </c>
      <c r="DS3" s="5">
        <v>1.3758999999999999</v>
      </c>
      <c r="DT3" s="5">
        <v>1.4121999999999999</v>
      </c>
      <c r="DU3" s="5">
        <v>1.4963</v>
      </c>
      <c r="DV3" s="5">
        <v>1.6307</v>
      </c>
      <c r="DW3" s="5">
        <v>1.6194</v>
      </c>
      <c r="DX3" s="5">
        <v>1.6201000000000001</v>
      </c>
      <c r="DY3" s="5">
        <v>1.611</v>
      </c>
      <c r="DZ3" s="5">
        <v>1.5129999999999999</v>
      </c>
      <c r="EA3" s="5">
        <v>1.4514</v>
      </c>
      <c r="EB3" s="5">
        <v>1.5169999999999999</v>
      </c>
      <c r="EC3" s="5">
        <v>1.4450000000000001</v>
      </c>
      <c r="ED3" s="5">
        <v>1.3997999999999999</v>
      </c>
      <c r="EE3" s="5">
        <v>1.3696999999999999</v>
      </c>
      <c r="EF3" s="5">
        <v>1.4055</v>
      </c>
      <c r="EG3" s="5">
        <v>1.488</v>
      </c>
      <c r="EH3" s="5">
        <v>1.6204000000000001</v>
      </c>
      <c r="EI3" s="5">
        <v>1.6113999999999999</v>
      </c>
      <c r="EJ3" s="5">
        <v>1.6119000000000001</v>
      </c>
      <c r="EK3" s="5">
        <v>1.6034999999999999</v>
      </c>
      <c r="EL3" s="5">
        <v>1.5049999999999999</v>
      </c>
      <c r="EM3" s="5">
        <v>1.4432</v>
      </c>
      <c r="EN3" s="5">
        <v>1.5085999999999999</v>
      </c>
      <c r="EO3" s="5">
        <v>1.4562999999999999</v>
      </c>
      <c r="EP3" s="5">
        <v>1.3938999999999999</v>
      </c>
      <c r="EQ3" s="5">
        <v>1.4056</v>
      </c>
      <c r="ER3" s="5">
        <v>1.3857999999999999</v>
      </c>
      <c r="ES3" s="5">
        <v>1.4796</v>
      </c>
      <c r="ET3" s="5">
        <v>1.61</v>
      </c>
      <c r="EU3" s="5">
        <v>1.6037999999999999</v>
      </c>
      <c r="EV3" s="5">
        <v>1.6041000000000001</v>
      </c>
      <c r="EW3" s="5">
        <v>1.5963000000000001</v>
      </c>
      <c r="EX3" s="5">
        <v>1.4970000000000001</v>
      </c>
      <c r="EY3" s="5">
        <v>1.4351</v>
      </c>
      <c r="EZ3" s="5">
        <v>1.5</v>
      </c>
      <c r="FA3" s="5">
        <v>1.45</v>
      </c>
      <c r="FB3" s="5">
        <v>1.3882000000000001</v>
      </c>
      <c r="FC3" s="5">
        <v>1.3574999999999999</v>
      </c>
      <c r="FD3" s="5">
        <v>1.3927</v>
      </c>
      <c r="FE3" s="5">
        <v>1.4717</v>
      </c>
      <c r="FF3" s="5">
        <v>1.6001000000000001</v>
      </c>
      <c r="FG3" s="5">
        <v>1.5963000000000001</v>
      </c>
      <c r="FH3" s="5">
        <v>1.5965</v>
      </c>
      <c r="FI3" s="5">
        <v>1.5893999999999999</v>
      </c>
      <c r="FJ3" s="5">
        <v>1.4895</v>
      </c>
      <c r="FK3" s="5">
        <v>1.4273</v>
      </c>
      <c r="FL3" s="5">
        <v>1.4918</v>
      </c>
      <c r="FM3" s="5">
        <v>1.4439</v>
      </c>
      <c r="FN3" s="5">
        <v>1.3829</v>
      </c>
      <c r="FO3" s="5">
        <v>1.3522000000000001</v>
      </c>
      <c r="FP3" s="5">
        <v>1.3869</v>
      </c>
      <c r="FQ3" s="5">
        <v>1.4643999999999999</v>
      </c>
      <c r="FR3" s="5">
        <v>1.5911</v>
      </c>
      <c r="FS3" s="5">
        <v>1.5896999999999999</v>
      </c>
      <c r="FT3" s="5">
        <v>1.5896999999999999</v>
      </c>
      <c r="FU3" s="5">
        <v>1.5831999999999999</v>
      </c>
      <c r="FV3" s="5">
        <v>1.4825999999999999</v>
      </c>
      <c r="FW3" s="5">
        <v>1.4201999999999999</v>
      </c>
      <c r="FX3" s="5">
        <v>1.4843999999999999</v>
      </c>
      <c r="FY3" s="5">
        <v>1.4383999999999999</v>
      </c>
    </row>
    <row r="4" spans="1:181" x14ac:dyDescent="0.3">
      <c r="A4" s="2">
        <v>2</v>
      </c>
      <c r="B4" s="5">
        <v>1.1469</v>
      </c>
      <c r="C4" s="5">
        <v>1.1238999999999999</v>
      </c>
      <c r="D4" s="5">
        <v>1.1653</v>
      </c>
      <c r="E4" s="5">
        <v>1.1882999999999999</v>
      </c>
      <c r="F4" s="5">
        <v>1.2486999999999999</v>
      </c>
      <c r="G4" s="5">
        <v>1.2277</v>
      </c>
      <c r="H4" s="5">
        <v>1.2272000000000001</v>
      </c>
      <c r="I4" s="5">
        <v>1.2445999999999999</v>
      </c>
      <c r="J4" s="5">
        <v>1.1960999999999999</v>
      </c>
      <c r="K4" s="5">
        <v>1.1851</v>
      </c>
      <c r="L4" s="5">
        <v>1.1701999999999999</v>
      </c>
      <c r="M4" s="5">
        <v>1.1817</v>
      </c>
      <c r="N4" s="5">
        <v>1.1517999999999999</v>
      </c>
      <c r="O4" s="5">
        <v>1.1309</v>
      </c>
      <c r="P4" s="5">
        <v>1.1893</v>
      </c>
      <c r="Q4" s="5">
        <v>1.2050000000000001</v>
      </c>
      <c r="R4" s="5">
        <v>1.2606999999999999</v>
      </c>
      <c r="S4" s="5">
        <v>1.2462</v>
      </c>
      <c r="T4" s="5">
        <v>1.2474000000000001</v>
      </c>
      <c r="U4" s="5">
        <v>1.2661</v>
      </c>
      <c r="V4" s="5">
        <v>1.2118</v>
      </c>
      <c r="W4" s="5">
        <v>1.1977</v>
      </c>
      <c r="X4" s="5">
        <v>1.1798</v>
      </c>
      <c r="Y4" s="5">
        <v>1.1906000000000001</v>
      </c>
      <c r="Z4" s="5">
        <v>1.1547000000000001</v>
      </c>
      <c r="AA4" s="5">
        <v>1.1365000000000001</v>
      </c>
      <c r="AB4" s="5">
        <v>1.1923999999999999</v>
      </c>
      <c r="AC4" s="5">
        <v>1.2094</v>
      </c>
      <c r="AD4" s="5">
        <v>1.2643</v>
      </c>
      <c r="AE4" s="5">
        <v>1.2514000000000001</v>
      </c>
      <c r="AF4" s="5">
        <v>1.2544</v>
      </c>
      <c r="AG4" s="5">
        <v>1.2712000000000001</v>
      </c>
      <c r="AH4" s="5">
        <v>1.2156</v>
      </c>
      <c r="AI4" s="5">
        <v>1.2002999999999999</v>
      </c>
      <c r="AJ4" s="5">
        <v>1.1817</v>
      </c>
      <c r="AK4" s="5">
        <v>1.1923999999999999</v>
      </c>
      <c r="AL4" s="5">
        <v>1.1556999999999999</v>
      </c>
      <c r="AM4" s="5">
        <v>1.1395</v>
      </c>
      <c r="AN4" s="5">
        <v>1.1942999999999999</v>
      </c>
      <c r="AO4" s="5">
        <v>1.212</v>
      </c>
      <c r="AP4" s="5">
        <v>1.2662</v>
      </c>
      <c r="AQ4" s="5">
        <v>1.2541</v>
      </c>
      <c r="AR4" s="5">
        <v>1.2572000000000001</v>
      </c>
      <c r="AS4" s="5">
        <v>1.2741</v>
      </c>
      <c r="AT4" s="5">
        <v>1.2181999999999999</v>
      </c>
      <c r="AU4" s="5">
        <v>1.2024999999999999</v>
      </c>
      <c r="AV4" s="5">
        <v>1.1836</v>
      </c>
      <c r="AW4" s="5">
        <v>1.1943999999999999</v>
      </c>
      <c r="AX4" s="5">
        <v>1.1558999999999999</v>
      </c>
      <c r="AY4" s="5">
        <v>1.1514</v>
      </c>
      <c r="AZ4" s="5">
        <v>1.1841999999999999</v>
      </c>
      <c r="BA4" s="5">
        <v>1.2135</v>
      </c>
      <c r="BB4" s="5">
        <v>1.2666999999999999</v>
      </c>
      <c r="BC4" s="5">
        <v>1.2553000000000001</v>
      </c>
      <c r="BD4" s="5">
        <v>1.2587999999999999</v>
      </c>
      <c r="BE4" s="5">
        <v>1.2761</v>
      </c>
      <c r="BF4" s="5">
        <v>1.2198</v>
      </c>
      <c r="BG4" s="5">
        <v>1.2039</v>
      </c>
      <c r="BH4" s="5">
        <v>1.1848000000000001</v>
      </c>
      <c r="BI4" s="5">
        <v>1.1959</v>
      </c>
      <c r="BJ4" s="5">
        <v>1.1566000000000001</v>
      </c>
      <c r="BK4" s="5">
        <v>1.1442000000000001</v>
      </c>
      <c r="BL4" s="5">
        <v>1.1974</v>
      </c>
      <c r="BM4" s="5">
        <v>1.2146999999999999</v>
      </c>
      <c r="BN4" s="5">
        <v>1.2669999999999999</v>
      </c>
      <c r="BO4" s="5">
        <v>1.2565999999999999</v>
      </c>
      <c r="BP4" s="5">
        <v>1.2601</v>
      </c>
      <c r="BQ4" s="5">
        <v>1.2775000000000001</v>
      </c>
      <c r="BR4" s="5">
        <v>1.2211000000000001</v>
      </c>
      <c r="BS4" s="5">
        <v>1.2050000000000001</v>
      </c>
      <c r="BT4" s="5">
        <v>1.1856</v>
      </c>
      <c r="BU4" s="5">
        <v>1.1970000000000001</v>
      </c>
      <c r="BV4" s="5">
        <v>1.1574</v>
      </c>
      <c r="BW4" s="5">
        <v>1.1464000000000001</v>
      </c>
      <c r="BX4" s="5">
        <v>1.1986000000000001</v>
      </c>
      <c r="BY4" s="5">
        <v>1.2159</v>
      </c>
      <c r="BZ4" s="5">
        <v>1.2673000000000001</v>
      </c>
      <c r="CA4" s="5">
        <v>1.2578</v>
      </c>
      <c r="CB4" s="5">
        <v>1.2614000000000001</v>
      </c>
      <c r="CC4" s="5">
        <v>1.2787999999999999</v>
      </c>
      <c r="CD4" s="5">
        <v>1.2222</v>
      </c>
      <c r="CE4" s="5">
        <v>1.206</v>
      </c>
      <c r="CF4" s="5">
        <v>1.1863999999999999</v>
      </c>
      <c r="CG4" s="5">
        <v>1.1980999999999999</v>
      </c>
      <c r="CH4" s="5">
        <v>1.1577</v>
      </c>
      <c r="CI4" s="5">
        <v>1.1476</v>
      </c>
      <c r="CJ4" s="5">
        <v>1.1988000000000001</v>
      </c>
      <c r="CK4" s="5">
        <v>1.2161999999999999</v>
      </c>
      <c r="CL4" s="5">
        <v>1.2664</v>
      </c>
      <c r="CM4" s="5">
        <v>1.2581</v>
      </c>
      <c r="CN4" s="5">
        <v>1.2611000000000001</v>
      </c>
      <c r="CO4" s="5">
        <v>1.2785</v>
      </c>
      <c r="CP4" s="5">
        <v>1.2216</v>
      </c>
      <c r="CQ4" s="5">
        <v>1.2055</v>
      </c>
      <c r="CR4" s="5">
        <v>1.1848000000000001</v>
      </c>
      <c r="CS4" s="5">
        <v>1.1974</v>
      </c>
      <c r="CT4" s="5">
        <v>1.1574</v>
      </c>
      <c r="CU4" s="5">
        <v>1.1556</v>
      </c>
      <c r="CV4" s="5">
        <v>1.1863999999999999</v>
      </c>
      <c r="CW4" s="5">
        <v>1.2154</v>
      </c>
      <c r="CX4" s="5">
        <v>1.2647999999999999</v>
      </c>
      <c r="CY4" s="5">
        <v>1.2573000000000001</v>
      </c>
      <c r="CZ4" s="5">
        <v>1.2597</v>
      </c>
      <c r="DA4" s="5">
        <v>1.2771999999999999</v>
      </c>
      <c r="DB4" s="5">
        <v>1.2202999999999999</v>
      </c>
      <c r="DC4" s="5">
        <v>1.2044999999999999</v>
      </c>
      <c r="DD4" s="5">
        <v>1.1840999999999999</v>
      </c>
      <c r="DE4" s="5">
        <v>1.1968000000000001</v>
      </c>
      <c r="DF4" s="5">
        <v>1.1563000000000001</v>
      </c>
      <c r="DG4" s="5">
        <v>1.1465000000000001</v>
      </c>
      <c r="DH4" s="5">
        <v>1.1974</v>
      </c>
      <c r="DI4" s="5">
        <v>1.2142999999999999</v>
      </c>
      <c r="DJ4" s="5">
        <v>1.2626999999999999</v>
      </c>
      <c r="DK4" s="5">
        <v>1.2562</v>
      </c>
      <c r="DL4" s="5">
        <v>1.2577</v>
      </c>
      <c r="DM4" s="5">
        <v>1.2755000000000001</v>
      </c>
      <c r="DN4" s="5">
        <v>1.2182999999999999</v>
      </c>
      <c r="DO4" s="5">
        <v>1.2030000000000001</v>
      </c>
      <c r="DP4" s="5">
        <v>1.1829000000000001</v>
      </c>
      <c r="DQ4" s="5">
        <v>1.1957</v>
      </c>
      <c r="DR4" s="5">
        <v>1.1556</v>
      </c>
      <c r="DS4" s="5">
        <v>1.1456</v>
      </c>
      <c r="DT4" s="5">
        <v>1.1963999999999999</v>
      </c>
      <c r="DU4" s="5">
        <v>1.2129000000000001</v>
      </c>
      <c r="DV4" s="5">
        <v>1.2604</v>
      </c>
      <c r="DW4" s="5">
        <v>1.2552000000000001</v>
      </c>
      <c r="DX4" s="5">
        <v>1.2559</v>
      </c>
      <c r="DY4" s="5">
        <v>1.2737000000000001</v>
      </c>
      <c r="DZ4" s="5">
        <v>1.2163999999999999</v>
      </c>
      <c r="EA4" s="5">
        <v>1.2015</v>
      </c>
      <c r="EB4" s="5">
        <v>1.1817</v>
      </c>
      <c r="EC4" s="5">
        <v>1.1944999999999999</v>
      </c>
      <c r="ED4" s="5">
        <v>1.1548</v>
      </c>
      <c r="EE4" s="5">
        <v>1.1448</v>
      </c>
      <c r="EF4" s="5">
        <v>1.1953</v>
      </c>
      <c r="EG4" s="5">
        <v>1.2114</v>
      </c>
      <c r="EH4" s="5">
        <v>1.2583</v>
      </c>
      <c r="EI4" s="5">
        <v>1.2544</v>
      </c>
      <c r="EJ4" s="5">
        <v>1.2542</v>
      </c>
      <c r="EK4" s="5">
        <v>1.2722</v>
      </c>
      <c r="EL4" s="5">
        <v>1.2145999999999999</v>
      </c>
      <c r="EM4" s="5">
        <v>1.2000999999999999</v>
      </c>
      <c r="EN4" s="5">
        <v>1.1807000000000001</v>
      </c>
      <c r="EO4" s="5">
        <v>1.1928000000000001</v>
      </c>
      <c r="EP4" s="5">
        <v>1.1540999999999999</v>
      </c>
      <c r="EQ4" s="5">
        <v>1.1508</v>
      </c>
      <c r="ER4" s="5">
        <v>1.1829000000000001</v>
      </c>
      <c r="ES4" s="5">
        <v>1.21</v>
      </c>
      <c r="ET4" s="5">
        <v>1.256</v>
      </c>
      <c r="EU4" s="5">
        <v>1.3185</v>
      </c>
      <c r="EV4" s="5">
        <v>1.2525999999999999</v>
      </c>
      <c r="EW4" s="5">
        <v>1.2704</v>
      </c>
      <c r="EX4" s="5">
        <v>1.2129000000000001</v>
      </c>
      <c r="EY4" s="5">
        <v>1.1986000000000001</v>
      </c>
      <c r="EZ4" s="5">
        <v>1.1797</v>
      </c>
      <c r="FA4" s="5">
        <v>1.1917</v>
      </c>
      <c r="FB4" s="5">
        <v>1.1532</v>
      </c>
      <c r="FC4" s="5">
        <v>1.1431</v>
      </c>
      <c r="FD4" s="5">
        <v>1.1930000000000001</v>
      </c>
      <c r="FE4" s="5">
        <v>1.2087000000000001</v>
      </c>
      <c r="FF4" s="5">
        <v>1.2539</v>
      </c>
      <c r="FG4" s="5">
        <v>1.2524999999999999</v>
      </c>
      <c r="FH4" s="5">
        <v>1.2512000000000001</v>
      </c>
      <c r="FI4" s="5">
        <v>1.2684</v>
      </c>
      <c r="FJ4" s="5">
        <v>1.2109000000000001</v>
      </c>
      <c r="FK4" s="5">
        <v>1.1971000000000001</v>
      </c>
      <c r="FL4" s="5">
        <v>1.1785000000000001</v>
      </c>
      <c r="FM4" s="5">
        <v>1.1906000000000001</v>
      </c>
      <c r="FN4" s="5">
        <v>1.1525000000000001</v>
      </c>
      <c r="FO4" s="5">
        <v>1.1424000000000001</v>
      </c>
      <c r="FP4" s="5">
        <v>1.1920999999999999</v>
      </c>
      <c r="FQ4" s="5">
        <v>1.2076</v>
      </c>
      <c r="FR4" s="5">
        <v>1.2521</v>
      </c>
      <c r="FS4" s="5">
        <v>1.252</v>
      </c>
      <c r="FT4" s="5">
        <v>1.2501</v>
      </c>
      <c r="FU4" s="5">
        <v>1.2675000000000001</v>
      </c>
      <c r="FV4" s="5">
        <v>1.2092000000000001</v>
      </c>
      <c r="FW4" s="5">
        <v>1.196</v>
      </c>
      <c r="FX4" s="5">
        <v>1.1776</v>
      </c>
      <c r="FY4" s="5">
        <v>1.1897</v>
      </c>
    </row>
    <row r="5" spans="1:181" x14ac:dyDescent="0.3">
      <c r="A5" s="2">
        <v>3</v>
      </c>
      <c r="B5" s="5">
        <v>0.96589999999999998</v>
      </c>
      <c r="C5" s="5">
        <v>0.95130000000000003</v>
      </c>
      <c r="D5" s="5">
        <v>0.96319999999999995</v>
      </c>
      <c r="E5" s="5">
        <v>0.93689999999999996</v>
      </c>
      <c r="F5" s="5">
        <v>0.94569999999999999</v>
      </c>
      <c r="G5" s="5">
        <v>0.93240000000000001</v>
      </c>
      <c r="H5" s="5">
        <v>0.93340000000000001</v>
      </c>
      <c r="I5" s="5">
        <v>0.92410000000000003</v>
      </c>
      <c r="J5" s="5">
        <v>0.94610000000000005</v>
      </c>
      <c r="K5" s="5">
        <v>0.94159999999999999</v>
      </c>
      <c r="L5" s="5">
        <v>0.95150000000000001</v>
      </c>
      <c r="M5" s="5">
        <v>0.96560000000000001</v>
      </c>
      <c r="N5" s="5">
        <v>0.96330000000000005</v>
      </c>
      <c r="O5" s="5">
        <v>0.96330000000000005</v>
      </c>
      <c r="P5" s="5">
        <v>0.95479999999999998</v>
      </c>
      <c r="Q5" s="5">
        <v>0.92869999999999997</v>
      </c>
      <c r="R5" s="5">
        <v>0.9173</v>
      </c>
      <c r="S5" s="5">
        <v>0.92789999999999995</v>
      </c>
      <c r="T5" s="5">
        <v>0.93220000000000003</v>
      </c>
      <c r="U5" s="5">
        <v>0.92030000000000001</v>
      </c>
      <c r="V5" s="5">
        <v>0.94820000000000004</v>
      </c>
      <c r="W5" s="5">
        <v>0.93899999999999995</v>
      </c>
      <c r="X5" s="5">
        <v>0.94950000000000001</v>
      </c>
      <c r="Y5" s="5">
        <v>0.96440000000000003</v>
      </c>
      <c r="Z5" s="5">
        <v>0.96040000000000003</v>
      </c>
      <c r="AA5" s="5">
        <v>0.96699999999999997</v>
      </c>
      <c r="AB5" s="5">
        <v>0.95420000000000005</v>
      </c>
      <c r="AC5" s="5">
        <v>0.92759999999999998</v>
      </c>
      <c r="AD5" s="5">
        <v>0.91200000000000003</v>
      </c>
      <c r="AE5" s="5">
        <v>0.92779999999999996</v>
      </c>
      <c r="AF5" s="5">
        <v>0.93489999999999995</v>
      </c>
      <c r="AG5" s="5">
        <v>0.92069999999999996</v>
      </c>
      <c r="AH5" s="5">
        <v>0.9516</v>
      </c>
      <c r="AI5" s="5">
        <v>0.93869999999999998</v>
      </c>
      <c r="AJ5" s="5">
        <v>0.94869999999999999</v>
      </c>
      <c r="AK5" s="5">
        <v>0.96379999999999999</v>
      </c>
      <c r="AL5" s="5">
        <v>0.95950000000000002</v>
      </c>
      <c r="AM5" s="5">
        <v>0.96760000000000002</v>
      </c>
      <c r="AN5" s="5">
        <v>0.95350000000000001</v>
      </c>
      <c r="AO5" s="5">
        <v>0.92589999999999995</v>
      </c>
      <c r="AP5" s="5">
        <v>0.9093</v>
      </c>
      <c r="AQ5" s="5">
        <v>0.92710000000000004</v>
      </c>
      <c r="AR5" s="5">
        <v>0.93459999999999999</v>
      </c>
      <c r="AS5" s="5">
        <v>0.91990000000000005</v>
      </c>
      <c r="AT5" s="5">
        <v>0.95279999999999998</v>
      </c>
      <c r="AU5" s="5">
        <v>0.93830000000000002</v>
      </c>
      <c r="AV5" s="5">
        <v>0.9476</v>
      </c>
      <c r="AW5" s="5">
        <v>0.9627</v>
      </c>
      <c r="AX5" s="5">
        <v>0.95820000000000005</v>
      </c>
      <c r="AY5" s="5">
        <v>0.95699999999999996</v>
      </c>
      <c r="AZ5" s="5">
        <v>0.95789999999999997</v>
      </c>
      <c r="BA5" s="5">
        <v>0.92420000000000002</v>
      </c>
      <c r="BB5" s="5">
        <v>0.90749999999999997</v>
      </c>
      <c r="BC5" s="5">
        <v>0.92630000000000001</v>
      </c>
      <c r="BD5" s="5">
        <v>0.93420000000000003</v>
      </c>
      <c r="BE5" s="5">
        <v>0.91890000000000005</v>
      </c>
      <c r="BF5" s="5">
        <v>0.95330000000000004</v>
      </c>
      <c r="BG5" s="5">
        <v>0.93779999999999997</v>
      </c>
      <c r="BH5" s="5">
        <v>0.9466</v>
      </c>
      <c r="BI5" s="5">
        <v>0.96189999999999998</v>
      </c>
      <c r="BJ5" s="5">
        <v>0.95679999999999998</v>
      </c>
      <c r="BK5" s="5">
        <v>0.96719999999999995</v>
      </c>
      <c r="BL5" s="5">
        <v>0.95179999999999998</v>
      </c>
      <c r="BM5" s="5">
        <v>0.92279999999999995</v>
      </c>
      <c r="BN5" s="5">
        <v>0.90610000000000002</v>
      </c>
      <c r="BO5" s="5">
        <v>0.92530000000000001</v>
      </c>
      <c r="BP5" s="5">
        <v>0.93369999999999997</v>
      </c>
      <c r="BQ5" s="5">
        <v>0.91779999999999995</v>
      </c>
      <c r="BR5" s="5">
        <v>0.95350000000000001</v>
      </c>
      <c r="BS5" s="5">
        <v>0.93720000000000003</v>
      </c>
      <c r="BT5" s="5">
        <v>0.94530000000000003</v>
      </c>
      <c r="BU5" s="5">
        <v>0.96099999999999997</v>
      </c>
      <c r="BV5" s="5">
        <v>0.95620000000000005</v>
      </c>
      <c r="BW5" s="5">
        <v>0.96740000000000004</v>
      </c>
      <c r="BX5" s="5">
        <v>0.95120000000000005</v>
      </c>
      <c r="BY5" s="5">
        <v>0.9214</v>
      </c>
      <c r="BZ5" s="5">
        <v>0.90459999999999996</v>
      </c>
      <c r="CA5" s="5">
        <v>0.92400000000000004</v>
      </c>
      <c r="CB5" s="5">
        <v>0.93310000000000004</v>
      </c>
      <c r="CC5" s="5">
        <v>0.91669999999999996</v>
      </c>
      <c r="CD5" s="5">
        <v>0.95399999999999996</v>
      </c>
      <c r="CE5" s="5">
        <v>0.93679999999999997</v>
      </c>
      <c r="CF5" s="5">
        <v>0.94410000000000005</v>
      </c>
      <c r="CG5" s="5">
        <v>0.96040000000000003</v>
      </c>
      <c r="CH5" s="5">
        <v>0.95550000000000002</v>
      </c>
      <c r="CI5" s="5">
        <v>0.96719999999999995</v>
      </c>
      <c r="CJ5" s="5">
        <v>0.95050000000000001</v>
      </c>
      <c r="CK5" s="5">
        <v>0.9204</v>
      </c>
      <c r="CL5" s="5">
        <v>0.90359999999999996</v>
      </c>
      <c r="CM5" s="5">
        <v>0.92300000000000004</v>
      </c>
      <c r="CN5" s="5">
        <v>0.93149999999999999</v>
      </c>
      <c r="CO5" s="5">
        <v>0.91539999999999999</v>
      </c>
      <c r="CP5" s="5">
        <v>0.95369999999999999</v>
      </c>
      <c r="CQ5" s="5">
        <v>0.93679999999999997</v>
      </c>
      <c r="CR5" s="5">
        <v>0.94350000000000001</v>
      </c>
      <c r="CS5" s="5">
        <v>0.95960000000000001</v>
      </c>
      <c r="CT5" s="5">
        <v>0.95509999999999995</v>
      </c>
      <c r="CU5" s="5">
        <v>0.95340000000000003</v>
      </c>
      <c r="CV5" s="5">
        <v>0.95540000000000003</v>
      </c>
      <c r="CW5" s="5">
        <v>0.91949999999999998</v>
      </c>
      <c r="CX5" s="5">
        <v>0.90339999999999998</v>
      </c>
      <c r="CY5" s="5">
        <v>0.92130000000000001</v>
      </c>
      <c r="CZ5" s="5">
        <v>0.92920000000000003</v>
      </c>
      <c r="DA5" s="5">
        <v>0.91339999999999999</v>
      </c>
      <c r="DB5" s="5">
        <v>0.95289999999999997</v>
      </c>
      <c r="DC5" s="5">
        <v>0.93620000000000003</v>
      </c>
      <c r="DD5" s="5">
        <v>0.94279999999999997</v>
      </c>
      <c r="DE5" s="5">
        <v>0.95920000000000005</v>
      </c>
      <c r="DF5" s="5">
        <v>0.95509999999999995</v>
      </c>
      <c r="DG5" s="5">
        <v>0.96499999999999997</v>
      </c>
      <c r="DH5" s="5">
        <v>0.94979999999999998</v>
      </c>
      <c r="DI5" s="5">
        <v>0.91930000000000001</v>
      </c>
      <c r="DJ5" s="5">
        <v>0.90329999999999999</v>
      </c>
      <c r="DK5" s="5">
        <v>0.92020000000000002</v>
      </c>
      <c r="DL5" s="5">
        <v>0.92700000000000005</v>
      </c>
      <c r="DM5" s="5">
        <v>0.91190000000000004</v>
      </c>
      <c r="DN5" s="5">
        <v>0.95179999999999998</v>
      </c>
      <c r="DO5" s="5">
        <v>0.93589999999999995</v>
      </c>
      <c r="DP5" s="5">
        <v>0.94230000000000003</v>
      </c>
      <c r="DQ5" s="5">
        <v>0.95879999999999999</v>
      </c>
      <c r="DR5" s="5">
        <v>0.95499999999999996</v>
      </c>
      <c r="DS5" s="5">
        <v>0.96409999999999996</v>
      </c>
      <c r="DT5" s="5">
        <v>0.94969999999999999</v>
      </c>
      <c r="DU5" s="5">
        <v>0.91900000000000004</v>
      </c>
      <c r="DV5" s="5">
        <v>0.90329999999999999</v>
      </c>
      <c r="DW5" s="5">
        <v>0.91920000000000002</v>
      </c>
      <c r="DX5" s="5">
        <v>0.92430000000000001</v>
      </c>
      <c r="DY5" s="5">
        <v>0.91020000000000001</v>
      </c>
      <c r="DZ5" s="5">
        <v>0.95089999999999997</v>
      </c>
      <c r="EA5" s="5">
        <v>0.93559999999999999</v>
      </c>
      <c r="EB5" s="5">
        <v>0.94189999999999996</v>
      </c>
      <c r="EC5" s="5">
        <v>0.95830000000000004</v>
      </c>
      <c r="ED5" s="5">
        <v>0.95499999999999996</v>
      </c>
      <c r="EE5" s="5">
        <v>0.96299999999999997</v>
      </c>
      <c r="EF5" s="5">
        <v>0.94940000000000002</v>
      </c>
      <c r="EG5" s="5">
        <v>0.91869999999999996</v>
      </c>
      <c r="EH5" s="5">
        <v>0.90349999999999997</v>
      </c>
      <c r="EI5" s="5">
        <v>0.91820000000000002</v>
      </c>
      <c r="EJ5" s="5">
        <v>0.92200000000000004</v>
      </c>
      <c r="EK5" s="5">
        <v>0.90880000000000005</v>
      </c>
      <c r="EL5" s="5">
        <v>0.94989999999999997</v>
      </c>
      <c r="EM5" s="5">
        <v>0.93540000000000001</v>
      </c>
      <c r="EN5" s="5">
        <v>0.94169999999999998</v>
      </c>
      <c r="EO5" s="5">
        <v>0.95799999999999996</v>
      </c>
      <c r="EP5" s="5">
        <v>0.95499999999999996</v>
      </c>
      <c r="EQ5" s="5">
        <v>0.94830000000000003</v>
      </c>
      <c r="ER5" s="5">
        <v>0.9546</v>
      </c>
      <c r="ES5" s="5">
        <v>0.91839999999999999</v>
      </c>
      <c r="ET5" s="5">
        <v>0.90369999999999995</v>
      </c>
      <c r="EU5" s="5">
        <v>1.0111000000000001</v>
      </c>
      <c r="EV5" s="5">
        <v>0.91949999999999998</v>
      </c>
      <c r="EW5" s="5">
        <v>0.90759999999999996</v>
      </c>
      <c r="EX5" s="5">
        <v>0.94889999999999997</v>
      </c>
      <c r="EY5" s="5">
        <v>0.93500000000000005</v>
      </c>
      <c r="EZ5" s="5">
        <v>0.9415</v>
      </c>
      <c r="FA5" s="5">
        <v>0.95779999999999998</v>
      </c>
      <c r="FB5" s="5">
        <v>0.95499999999999996</v>
      </c>
      <c r="FC5" s="5">
        <v>0.96079999999999999</v>
      </c>
      <c r="FD5" s="5">
        <v>0.94910000000000005</v>
      </c>
      <c r="FE5" s="5">
        <v>0.91839999999999999</v>
      </c>
      <c r="FF5" s="5">
        <v>0.90380000000000005</v>
      </c>
      <c r="FG5" s="5">
        <v>0.91649999999999998</v>
      </c>
      <c r="FH5" s="5">
        <v>0.91779999999999995</v>
      </c>
      <c r="FI5" s="5">
        <v>0.90639999999999998</v>
      </c>
      <c r="FJ5" s="5">
        <v>0.9476</v>
      </c>
      <c r="FK5" s="5">
        <v>0.93469999999999998</v>
      </c>
      <c r="FL5" s="5">
        <v>0.94120000000000004</v>
      </c>
      <c r="FM5" s="5">
        <v>0.95750000000000002</v>
      </c>
      <c r="FN5" s="5">
        <v>0.95489999999999997</v>
      </c>
      <c r="FO5" s="5">
        <v>0.95989999999999998</v>
      </c>
      <c r="FP5" s="5">
        <v>0.94879999999999998</v>
      </c>
      <c r="FQ5" s="5">
        <v>0.91820000000000002</v>
      </c>
      <c r="FR5" s="5">
        <v>0.90400000000000003</v>
      </c>
      <c r="FS5" s="5">
        <v>0.91590000000000005</v>
      </c>
      <c r="FT5" s="5">
        <v>0.9163</v>
      </c>
      <c r="FU5" s="5">
        <v>0.90569999999999995</v>
      </c>
      <c r="FV5" s="5">
        <v>0.94630000000000003</v>
      </c>
      <c r="FW5" s="5">
        <v>0.9345</v>
      </c>
      <c r="FX5" s="5">
        <v>0.94079999999999997</v>
      </c>
      <c r="FY5" s="5">
        <v>0.95720000000000005</v>
      </c>
    </row>
    <row r="6" spans="1:181" x14ac:dyDescent="0.3">
      <c r="A6" s="2">
        <v>4</v>
      </c>
      <c r="B6" s="5">
        <v>0.72309999999999997</v>
      </c>
      <c r="C6" s="5">
        <v>0.78469999999999995</v>
      </c>
      <c r="D6" s="5">
        <v>0.75970000000000004</v>
      </c>
      <c r="E6" s="5">
        <v>0.75009999999999999</v>
      </c>
      <c r="F6" s="5">
        <v>0.74029999999999996</v>
      </c>
      <c r="G6" s="5">
        <v>0.74109999999999998</v>
      </c>
      <c r="H6" s="5">
        <v>0.74229999999999996</v>
      </c>
      <c r="I6" s="5">
        <v>0.71640000000000004</v>
      </c>
      <c r="J6" s="5">
        <v>0.74209999999999998</v>
      </c>
      <c r="K6" s="5">
        <v>0.77500000000000002</v>
      </c>
      <c r="L6" s="5">
        <v>0.75549999999999995</v>
      </c>
      <c r="M6" s="5">
        <v>0.76390000000000002</v>
      </c>
      <c r="N6" s="5">
        <v>0.69769999999999999</v>
      </c>
      <c r="O6" s="5">
        <v>0.79379999999999995</v>
      </c>
      <c r="P6" s="5">
        <v>0.7167</v>
      </c>
      <c r="Q6" s="5">
        <v>0.7097</v>
      </c>
      <c r="R6" s="5">
        <v>0.69420000000000004</v>
      </c>
      <c r="S6" s="5">
        <v>0.71960000000000002</v>
      </c>
      <c r="T6" s="5">
        <v>0.72850000000000004</v>
      </c>
      <c r="U6" s="5">
        <v>0.70069999999999999</v>
      </c>
      <c r="V6" s="5">
        <v>0.72719999999999996</v>
      </c>
      <c r="W6" s="5">
        <v>0.75780000000000003</v>
      </c>
      <c r="X6" s="5">
        <v>0.74080000000000001</v>
      </c>
      <c r="Y6" s="5">
        <v>0.74890000000000001</v>
      </c>
      <c r="Z6" s="5">
        <v>0.68100000000000005</v>
      </c>
      <c r="AA6" s="5">
        <v>0.79490000000000005</v>
      </c>
      <c r="AB6" s="5">
        <v>0.71140000000000003</v>
      </c>
      <c r="AC6" s="5">
        <v>0.70420000000000005</v>
      </c>
      <c r="AD6" s="5">
        <v>0.68300000000000005</v>
      </c>
      <c r="AE6" s="5">
        <v>0.71789999999999998</v>
      </c>
      <c r="AF6" s="5">
        <v>0.72989999999999999</v>
      </c>
      <c r="AG6" s="5">
        <v>0.70299999999999996</v>
      </c>
      <c r="AH6" s="5">
        <v>0.73029999999999995</v>
      </c>
      <c r="AI6" s="5">
        <v>0.75619999999999998</v>
      </c>
      <c r="AJ6" s="5">
        <v>0.73870000000000002</v>
      </c>
      <c r="AK6" s="5">
        <v>0.74609999999999999</v>
      </c>
      <c r="AL6" s="5">
        <v>0.67700000000000005</v>
      </c>
      <c r="AM6" s="5">
        <v>0.79220000000000002</v>
      </c>
      <c r="AN6" s="5">
        <v>0.7077</v>
      </c>
      <c r="AO6" s="5">
        <v>0.69679999999999997</v>
      </c>
      <c r="AP6" s="5">
        <v>0.67500000000000004</v>
      </c>
      <c r="AQ6" s="5">
        <v>0.71299999999999997</v>
      </c>
      <c r="AR6" s="5">
        <v>0.7248</v>
      </c>
      <c r="AS6" s="5">
        <v>0.69840000000000002</v>
      </c>
      <c r="AT6" s="5">
        <v>0.72909999999999997</v>
      </c>
      <c r="AU6" s="5">
        <v>0.75360000000000005</v>
      </c>
      <c r="AV6" s="5">
        <v>0.73519999999999996</v>
      </c>
      <c r="AW6" s="5">
        <v>0.7419</v>
      </c>
      <c r="AX6" s="5">
        <v>0.67359999999999998</v>
      </c>
      <c r="AY6" s="5">
        <v>0.77290000000000003</v>
      </c>
      <c r="AZ6" s="5">
        <v>0.71650000000000003</v>
      </c>
      <c r="BA6" s="5">
        <v>0.69030000000000002</v>
      </c>
      <c r="BB6" s="5">
        <v>0.66959999999999997</v>
      </c>
      <c r="BC6" s="5">
        <v>0.70960000000000001</v>
      </c>
      <c r="BD6" s="5">
        <v>0.72109999999999996</v>
      </c>
      <c r="BE6" s="5">
        <v>0.69310000000000005</v>
      </c>
      <c r="BF6" s="5">
        <v>0.72729999999999995</v>
      </c>
      <c r="BG6" s="5">
        <v>0.75170000000000003</v>
      </c>
      <c r="BH6" s="5">
        <v>0.73260000000000003</v>
      </c>
      <c r="BI6" s="5">
        <v>0.73880000000000001</v>
      </c>
      <c r="BJ6" s="5">
        <v>0.67059999999999997</v>
      </c>
      <c r="BK6" s="5">
        <v>0.7853</v>
      </c>
      <c r="BL6" s="5">
        <v>0.69979999999999998</v>
      </c>
      <c r="BM6" s="5">
        <v>0.68430000000000002</v>
      </c>
      <c r="BN6" s="5">
        <v>0.66549999999999998</v>
      </c>
      <c r="BO6" s="5">
        <v>0.7046</v>
      </c>
      <c r="BP6" s="5">
        <v>0.71760000000000002</v>
      </c>
      <c r="BQ6" s="5">
        <v>0.68789999999999996</v>
      </c>
      <c r="BR6" s="5">
        <v>0.72529999999999994</v>
      </c>
      <c r="BS6" s="5">
        <v>0.74980000000000002</v>
      </c>
      <c r="BT6" s="5">
        <v>0.72989999999999999</v>
      </c>
      <c r="BU6" s="5">
        <v>0.7359</v>
      </c>
      <c r="BV6" s="5">
        <v>0.66879999999999995</v>
      </c>
      <c r="BW6" s="5">
        <v>0.78339999999999999</v>
      </c>
      <c r="BX6" s="5">
        <v>0.69720000000000004</v>
      </c>
      <c r="BY6" s="5">
        <v>0.67869999999999997</v>
      </c>
      <c r="BZ6" s="5">
        <v>0.6613</v>
      </c>
      <c r="CA6" s="5">
        <v>0.69979999999999998</v>
      </c>
      <c r="CB6" s="5">
        <v>0.71419999999999995</v>
      </c>
      <c r="CC6" s="5">
        <v>0.68310000000000004</v>
      </c>
      <c r="CD6" s="5">
        <v>0.72430000000000005</v>
      </c>
      <c r="CE6" s="5">
        <v>0.74839999999999995</v>
      </c>
      <c r="CF6" s="5">
        <v>0.72760000000000002</v>
      </c>
      <c r="CG6" s="5">
        <v>0.73360000000000003</v>
      </c>
      <c r="CH6" s="5">
        <v>0.66739999999999999</v>
      </c>
      <c r="CI6" s="5">
        <v>0.78190000000000004</v>
      </c>
      <c r="CJ6" s="5">
        <v>0.69550000000000001</v>
      </c>
      <c r="CK6" s="5">
        <v>0.67510000000000003</v>
      </c>
      <c r="CL6" s="5">
        <v>0.6593</v>
      </c>
      <c r="CM6" s="5">
        <v>0.69640000000000002</v>
      </c>
      <c r="CN6" s="5">
        <v>0.71060000000000001</v>
      </c>
      <c r="CO6" s="5">
        <v>0.67910000000000004</v>
      </c>
      <c r="CP6" s="5">
        <v>0.72430000000000005</v>
      </c>
      <c r="CQ6" s="5">
        <v>0.74909999999999999</v>
      </c>
      <c r="CR6" s="5">
        <v>0.72799999999999998</v>
      </c>
      <c r="CS6" s="5">
        <v>0.73360000000000003</v>
      </c>
      <c r="CT6" s="5">
        <v>0.66820000000000002</v>
      </c>
      <c r="CU6" s="5">
        <v>0.7631</v>
      </c>
      <c r="CV6" s="5">
        <v>0.70899999999999996</v>
      </c>
      <c r="CW6" s="5">
        <v>0.6734</v>
      </c>
      <c r="CX6" s="5">
        <v>0.65980000000000005</v>
      </c>
      <c r="CY6" s="5">
        <v>0.69279999999999997</v>
      </c>
      <c r="CZ6" s="5">
        <v>0.70660000000000001</v>
      </c>
      <c r="DA6" s="5">
        <v>0.67330000000000001</v>
      </c>
      <c r="DB6" s="5">
        <v>0.72440000000000004</v>
      </c>
      <c r="DC6" s="5">
        <v>0.74950000000000006</v>
      </c>
      <c r="DD6" s="5">
        <v>0.72850000000000004</v>
      </c>
      <c r="DE6" s="5">
        <v>0.73419999999999996</v>
      </c>
      <c r="DF6" s="5">
        <v>0.67030000000000001</v>
      </c>
      <c r="DG6" s="5">
        <v>0.78080000000000005</v>
      </c>
      <c r="DH6" s="5">
        <v>0.69650000000000001</v>
      </c>
      <c r="DI6" s="5">
        <v>0.67310000000000003</v>
      </c>
      <c r="DJ6" s="5">
        <v>0.66059999999999997</v>
      </c>
      <c r="DK6" s="5">
        <v>0.68989999999999996</v>
      </c>
      <c r="DL6" s="5">
        <v>0.70240000000000002</v>
      </c>
      <c r="DM6" s="5">
        <v>0.66859999999999997</v>
      </c>
      <c r="DN6" s="5">
        <v>0.72450000000000003</v>
      </c>
      <c r="DO6" s="5">
        <v>0.75039999999999996</v>
      </c>
      <c r="DP6" s="5">
        <v>0.72929999999999995</v>
      </c>
      <c r="DQ6" s="5">
        <v>0.73480000000000001</v>
      </c>
      <c r="DR6" s="5">
        <v>0.67190000000000005</v>
      </c>
      <c r="DS6" s="5">
        <v>0.78080000000000005</v>
      </c>
      <c r="DT6" s="5">
        <v>0.69750000000000001</v>
      </c>
      <c r="DU6" s="5">
        <v>0.67259999999999998</v>
      </c>
      <c r="DV6" s="5">
        <v>0.66190000000000004</v>
      </c>
      <c r="DW6" s="5">
        <v>0.68740000000000001</v>
      </c>
      <c r="DX6" s="5">
        <v>0.69579999999999997</v>
      </c>
      <c r="DY6" s="5">
        <v>0.66339999999999999</v>
      </c>
      <c r="DZ6" s="5">
        <v>0.7248</v>
      </c>
      <c r="EA6" s="5">
        <v>0.75119999999999998</v>
      </c>
      <c r="EB6" s="5">
        <v>0.73029999999999995</v>
      </c>
      <c r="EC6" s="5">
        <v>0.73550000000000004</v>
      </c>
      <c r="ED6" s="5">
        <v>0.67390000000000005</v>
      </c>
      <c r="EE6" s="5">
        <v>0.78059999999999996</v>
      </c>
      <c r="EF6" s="5">
        <v>0.69840000000000002</v>
      </c>
      <c r="EG6" s="5">
        <v>0.67269999999999996</v>
      </c>
      <c r="EH6" s="5">
        <v>0.6633</v>
      </c>
      <c r="EI6" s="5">
        <v>0.68540000000000001</v>
      </c>
      <c r="EJ6" s="5">
        <v>0.69030000000000002</v>
      </c>
      <c r="EK6" s="5">
        <v>0.65900000000000003</v>
      </c>
      <c r="EL6" s="5">
        <v>0.72489999999999999</v>
      </c>
      <c r="EM6" s="5">
        <v>0.75209999999999999</v>
      </c>
      <c r="EN6" s="5">
        <v>0.73160000000000003</v>
      </c>
      <c r="EO6" s="5">
        <v>0.73660000000000003</v>
      </c>
      <c r="EP6" s="5">
        <v>0.67610000000000003</v>
      </c>
      <c r="EQ6" s="5">
        <v>0.75729999999999997</v>
      </c>
      <c r="ER6" s="5">
        <v>0.71220000000000006</v>
      </c>
      <c r="ES6" s="5">
        <v>0.67300000000000004</v>
      </c>
      <c r="ET6" s="5">
        <v>0.66520000000000001</v>
      </c>
      <c r="EU6" s="5">
        <v>0.78649999999999998</v>
      </c>
      <c r="EV6" s="5">
        <v>0.68310000000000004</v>
      </c>
      <c r="EW6" s="5">
        <v>0.65590000000000004</v>
      </c>
      <c r="EX6" s="5">
        <v>0.72499999999999998</v>
      </c>
      <c r="EY6" s="5">
        <v>0.75280000000000002</v>
      </c>
      <c r="EZ6" s="5">
        <v>0.73280000000000001</v>
      </c>
      <c r="FA6" s="5">
        <v>0.73760000000000003</v>
      </c>
      <c r="FB6" s="5">
        <v>0.67769999999999997</v>
      </c>
      <c r="FC6" s="5">
        <v>0.77949999999999997</v>
      </c>
      <c r="FD6" s="5">
        <v>0.70020000000000004</v>
      </c>
      <c r="FE6" s="5">
        <v>0.6734</v>
      </c>
      <c r="FF6" s="5">
        <v>0.66639999999999999</v>
      </c>
      <c r="FG6" s="5">
        <v>0.68220000000000003</v>
      </c>
      <c r="FH6" s="5">
        <v>0.67689999999999995</v>
      </c>
      <c r="FI6" s="5">
        <v>0.65180000000000005</v>
      </c>
      <c r="FJ6" s="5">
        <v>0.72419999999999995</v>
      </c>
      <c r="FK6" s="5">
        <v>0.75339999999999996</v>
      </c>
      <c r="FL6" s="5">
        <v>0.73409999999999997</v>
      </c>
      <c r="FM6" s="5">
        <v>0.73839999999999995</v>
      </c>
      <c r="FN6" s="5">
        <v>0.6794</v>
      </c>
      <c r="FO6" s="5">
        <v>0.77880000000000005</v>
      </c>
      <c r="FP6" s="5">
        <v>0.70089999999999997</v>
      </c>
      <c r="FQ6" s="5">
        <v>0.6734</v>
      </c>
      <c r="FR6" s="5">
        <v>0.66800000000000004</v>
      </c>
      <c r="FS6" s="5">
        <v>0.68110000000000004</v>
      </c>
      <c r="FT6" s="5">
        <v>0.67120000000000002</v>
      </c>
      <c r="FU6" s="5">
        <v>0.64959999999999996</v>
      </c>
      <c r="FV6" s="5">
        <v>0.72309999999999997</v>
      </c>
      <c r="FW6" s="5">
        <v>0.75390000000000001</v>
      </c>
      <c r="FX6" s="5">
        <v>0.73470000000000002</v>
      </c>
      <c r="FY6" s="5">
        <v>0.73909999999999998</v>
      </c>
    </row>
    <row r="8" spans="1:181" x14ac:dyDescent="0.3">
      <c r="A8" s="4">
        <v>2</v>
      </c>
      <c r="B8" s="1">
        <v>45292</v>
      </c>
      <c r="C8" s="1">
        <v>45323</v>
      </c>
      <c r="D8" s="1">
        <v>45352</v>
      </c>
      <c r="E8" s="1">
        <v>45383</v>
      </c>
      <c r="F8" s="1">
        <v>45413</v>
      </c>
      <c r="G8" s="1">
        <v>45444</v>
      </c>
      <c r="H8" s="1">
        <v>45474</v>
      </c>
      <c r="I8" s="1">
        <v>45505</v>
      </c>
      <c r="J8" s="1">
        <v>45536</v>
      </c>
      <c r="K8" s="1">
        <v>45566</v>
      </c>
      <c r="L8" s="1">
        <v>45597</v>
      </c>
      <c r="M8" s="1">
        <v>45627</v>
      </c>
      <c r="N8" s="1">
        <v>45658</v>
      </c>
      <c r="O8" s="1">
        <v>45689</v>
      </c>
      <c r="P8" s="1">
        <v>45717</v>
      </c>
      <c r="Q8" s="1">
        <v>45748</v>
      </c>
      <c r="R8" s="1">
        <v>45778</v>
      </c>
      <c r="S8" s="1">
        <v>45809</v>
      </c>
      <c r="T8" s="1">
        <v>45839</v>
      </c>
      <c r="U8" s="1">
        <v>45870</v>
      </c>
      <c r="V8" s="1">
        <v>45901</v>
      </c>
      <c r="W8" s="1">
        <v>45931</v>
      </c>
      <c r="X8" s="1">
        <v>45962</v>
      </c>
      <c r="Y8" s="1">
        <v>45992</v>
      </c>
      <c r="Z8" s="1">
        <v>46023</v>
      </c>
      <c r="AA8" s="1">
        <v>46054</v>
      </c>
      <c r="AB8" s="1">
        <v>46082</v>
      </c>
      <c r="AC8" s="1">
        <v>46113</v>
      </c>
      <c r="AD8" s="1">
        <v>46143</v>
      </c>
      <c r="AE8" s="1">
        <v>46174</v>
      </c>
      <c r="AF8" s="1">
        <v>46204</v>
      </c>
      <c r="AG8" s="1">
        <v>46235</v>
      </c>
      <c r="AH8" s="1">
        <v>46266</v>
      </c>
      <c r="AI8" s="1">
        <v>46296</v>
      </c>
      <c r="AJ8" s="1">
        <v>46327</v>
      </c>
      <c r="AK8" s="1">
        <v>46357</v>
      </c>
      <c r="AL8" s="1">
        <v>46388</v>
      </c>
      <c r="AM8" s="1">
        <v>46419</v>
      </c>
      <c r="AN8" s="1">
        <v>46447</v>
      </c>
      <c r="AO8" s="1">
        <v>46478</v>
      </c>
      <c r="AP8" s="1">
        <v>46508</v>
      </c>
      <c r="AQ8" s="1">
        <v>46539</v>
      </c>
      <c r="AR8" s="1">
        <v>46569</v>
      </c>
      <c r="AS8" s="1">
        <v>46600</v>
      </c>
      <c r="AT8" s="1">
        <v>46631</v>
      </c>
      <c r="AU8" s="1">
        <v>46661</v>
      </c>
      <c r="AV8" s="1">
        <v>46692</v>
      </c>
      <c r="AW8" s="1">
        <v>46722</v>
      </c>
      <c r="AX8" s="1">
        <v>46753</v>
      </c>
      <c r="AY8" s="1">
        <v>46784</v>
      </c>
      <c r="AZ8" s="1">
        <v>46813</v>
      </c>
      <c r="BA8" s="1">
        <v>46844</v>
      </c>
      <c r="BB8" s="1">
        <v>46874</v>
      </c>
      <c r="BC8" s="1">
        <v>46905</v>
      </c>
      <c r="BD8" s="1">
        <v>46935</v>
      </c>
      <c r="BE8" s="1">
        <v>46966</v>
      </c>
      <c r="BF8" s="1">
        <v>46997</v>
      </c>
      <c r="BG8" s="1">
        <v>47027</v>
      </c>
      <c r="BH8" s="1">
        <v>47058</v>
      </c>
      <c r="BI8" s="1">
        <v>47088</v>
      </c>
      <c r="BJ8" s="1">
        <v>47119</v>
      </c>
      <c r="BK8" s="1">
        <v>47150</v>
      </c>
      <c r="BL8" s="1">
        <v>47178</v>
      </c>
      <c r="BM8" s="1">
        <v>47209</v>
      </c>
      <c r="BN8" s="1">
        <v>47239</v>
      </c>
      <c r="BO8" s="1">
        <v>47270</v>
      </c>
      <c r="BP8" s="1">
        <v>47300</v>
      </c>
      <c r="BQ8" s="1">
        <v>47331</v>
      </c>
      <c r="BR8" s="1">
        <v>47362</v>
      </c>
      <c r="BS8" s="1">
        <v>47392</v>
      </c>
      <c r="BT8" s="1">
        <v>47423</v>
      </c>
      <c r="BU8" s="1">
        <v>47453</v>
      </c>
      <c r="BV8" s="1">
        <v>47484</v>
      </c>
      <c r="BW8" s="1">
        <v>47515</v>
      </c>
      <c r="BX8" s="1">
        <v>47543</v>
      </c>
      <c r="BY8" s="1">
        <v>47574</v>
      </c>
      <c r="BZ8" s="1">
        <v>47604</v>
      </c>
      <c r="CA8" s="1">
        <v>47635</v>
      </c>
      <c r="CB8" s="1">
        <v>47665</v>
      </c>
      <c r="CC8" s="1">
        <v>47696</v>
      </c>
      <c r="CD8" s="1">
        <v>47727</v>
      </c>
      <c r="CE8" s="1">
        <v>47757</v>
      </c>
      <c r="CF8" s="1">
        <v>47788</v>
      </c>
      <c r="CG8" s="1">
        <v>47818</v>
      </c>
      <c r="CH8" s="1">
        <v>47849</v>
      </c>
      <c r="CI8" s="1">
        <v>47880</v>
      </c>
      <c r="CJ8" s="1">
        <v>47908</v>
      </c>
      <c r="CK8" s="1">
        <v>47939</v>
      </c>
      <c r="CL8" s="1">
        <v>47969</v>
      </c>
      <c r="CM8" s="1">
        <v>48000</v>
      </c>
      <c r="CN8" s="1">
        <v>48030</v>
      </c>
      <c r="CO8" s="1">
        <v>48061</v>
      </c>
      <c r="CP8" s="1">
        <v>48092</v>
      </c>
      <c r="CQ8" s="1">
        <v>48122</v>
      </c>
      <c r="CR8" s="1">
        <v>48153</v>
      </c>
      <c r="CS8" s="1">
        <v>48183</v>
      </c>
      <c r="CT8" s="1">
        <v>48214</v>
      </c>
      <c r="CU8" s="1">
        <v>48245</v>
      </c>
      <c r="CV8" s="1">
        <v>48274</v>
      </c>
      <c r="CW8" s="1">
        <v>48305</v>
      </c>
      <c r="CX8" s="1">
        <v>48335</v>
      </c>
      <c r="CY8" s="1">
        <v>48366</v>
      </c>
      <c r="CZ8" s="1">
        <v>48396</v>
      </c>
      <c r="DA8" s="1">
        <v>48427</v>
      </c>
      <c r="DB8" s="1">
        <v>48458</v>
      </c>
      <c r="DC8" s="1">
        <v>48488</v>
      </c>
      <c r="DD8" s="1">
        <v>48519</v>
      </c>
      <c r="DE8" s="1">
        <v>48549</v>
      </c>
      <c r="DF8" s="1">
        <v>48580</v>
      </c>
      <c r="DG8" s="1">
        <v>48611</v>
      </c>
      <c r="DH8" s="1">
        <v>48639</v>
      </c>
      <c r="DI8" s="1">
        <v>48670</v>
      </c>
      <c r="DJ8" s="1">
        <v>48700</v>
      </c>
      <c r="DK8" s="1">
        <v>48731</v>
      </c>
      <c r="DL8" s="1">
        <v>48761</v>
      </c>
      <c r="DM8" s="1">
        <v>48792</v>
      </c>
      <c r="DN8" s="1">
        <v>48823</v>
      </c>
      <c r="DO8" s="1">
        <v>48853</v>
      </c>
      <c r="DP8" s="1">
        <v>48884</v>
      </c>
      <c r="DQ8" s="1">
        <v>48914</v>
      </c>
      <c r="DR8" s="1">
        <v>48945</v>
      </c>
      <c r="DS8" s="1">
        <v>48976</v>
      </c>
      <c r="DT8" s="1">
        <v>49004</v>
      </c>
      <c r="DU8" s="1">
        <v>49035</v>
      </c>
      <c r="DV8" s="1">
        <v>49065</v>
      </c>
      <c r="DW8" s="1">
        <v>49096</v>
      </c>
      <c r="DX8" s="1">
        <v>49126</v>
      </c>
      <c r="DY8" s="1">
        <v>49157</v>
      </c>
      <c r="DZ8" s="1">
        <v>49188</v>
      </c>
      <c r="EA8" s="1">
        <v>49218</v>
      </c>
      <c r="EB8" s="1">
        <v>49249</v>
      </c>
      <c r="EC8" s="1">
        <v>49279</v>
      </c>
      <c r="ED8" s="1">
        <v>49310</v>
      </c>
      <c r="EE8" s="1">
        <v>49341</v>
      </c>
      <c r="EF8" s="1">
        <v>49369</v>
      </c>
      <c r="EG8" s="1">
        <v>49400</v>
      </c>
      <c r="EH8" s="1">
        <v>49430</v>
      </c>
      <c r="EI8" s="1">
        <v>49461</v>
      </c>
      <c r="EJ8" s="1">
        <v>49491</v>
      </c>
      <c r="EK8" s="1">
        <v>49522</v>
      </c>
      <c r="EL8" s="1">
        <v>49553</v>
      </c>
      <c r="EM8" s="1">
        <v>49583</v>
      </c>
      <c r="EN8" s="1">
        <v>49614</v>
      </c>
      <c r="EO8" s="1">
        <v>49644</v>
      </c>
      <c r="EP8" s="1">
        <v>49675</v>
      </c>
      <c r="EQ8" s="1">
        <v>49706</v>
      </c>
      <c r="ER8" s="1">
        <v>49735</v>
      </c>
      <c r="ES8" s="1">
        <v>49766</v>
      </c>
      <c r="ET8" s="1">
        <v>49796</v>
      </c>
      <c r="EU8" s="1">
        <v>49827</v>
      </c>
      <c r="EV8" s="1">
        <v>49857</v>
      </c>
      <c r="EW8" s="1">
        <v>49888</v>
      </c>
      <c r="EX8" s="1">
        <v>49919</v>
      </c>
      <c r="EY8" s="1">
        <v>49949</v>
      </c>
      <c r="EZ8" s="1">
        <v>49980</v>
      </c>
      <c r="FA8" s="1">
        <v>50010</v>
      </c>
      <c r="FB8" s="1">
        <v>50041</v>
      </c>
      <c r="FC8" s="1">
        <v>50072</v>
      </c>
      <c r="FD8" s="1">
        <v>50100</v>
      </c>
      <c r="FE8" s="1">
        <v>50131</v>
      </c>
      <c r="FF8" s="1">
        <v>50161</v>
      </c>
      <c r="FG8" s="1">
        <v>50192</v>
      </c>
      <c r="FH8" s="1">
        <v>50222</v>
      </c>
      <c r="FI8" s="1">
        <v>50253</v>
      </c>
      <c r="FJ8" s="1">
        <v>50284</v>
      </c>
      <c r="FK8" s="1">
        <v>50314</v>
      </c>
      <c r="FL8" s="1">
        <v>50345</v>
      </c>
      <c r="FM8" s="1">
        <v>50375</v>
      </c>
      <c r="FN8" s="1">
        <v>50406</v>
      </c>
      <c r="FO8" s="1">
        <v>50437</v>
      </c>
      <c r="FP8" s="1">
        <v>50465</v>
      </c>
      <c r="FQ8" s="1">
        <v>50496</v>
      </c>
      <c r="FR8" s="1">
        <v>50526</v>
      </c>
      <c r="FS8" s="1">
        <v>50557</v>
      </c>
      <c r="FT8" s="1">
        <v>50587</v>
      </c>
      <c r="FU8" s="1">
        <v>50618</v>
      </c>
      <c r="FV8" s="1">
        <v>50649</v>
      </c>
      <c r="FW8" s="1">
        <v>50679</v>
      </c>
      <c r="FX8" s="1">
        <v>50710</v>
      </c>
      <c r="FY8" s="1">
        <v>50740</v>
      </c>
    </row>
    <row r="9" spans="1:181" x14ac:dyDescent="0.3">
      <c r="A9" s="2">
        <v>1</v>
      </c>
      <c r="B9" s="5">
        <v>1.4020999999999999</v>
      </c>
      <c r="C9" s="5">
        <v>1.4158999999999999</v>
      </c>
      <c r="D9" s="5">
        <v>1.4582999999999999</v>
      </c>
      <c r="E9" s="5">
        <v>1.4958</v>
      </c>
      <c r="F9" s="5">
        <v>1.6282000000000001</v>
      </c>
      <c r="G9" s="5">
        <v>1.6258999999999999</v>
      </c>
      <c r="H9" s="5">
        <v>1.5567</v>
      </c>
      <c r="I9" s="5">
        <v>1.5854999999999999</v>
      </c>
      <c r="J9" s="5">
        <v>1.4778</v>
      </c>
      <c r="K9" s="5">
        <v>1.5266999999999999</v>
      </c>
      <c r="L9" s="5">
        <v>1.6054999999999999</v>
      </c>
      <c r="M9" s="5">
        <v>1.5275000000000001</v>
      </c>
      <c r="N9" s="5">
        <v>1.4046000000000001</v>
      </c>
      <c r="O9" s="5">
        <v>1.42</v>
      </c>
      <c r="P9" s="5">
        <v>1.4797</v>
      </c>
      <c r="Q9" s="5">
        <v>1.4999</v>
      </c>
      <c r="R9" s="5">
        <v>1.6420999999999999</v>
      </c>
      <c r="S9" s="5">
        <v>1.6408</v>
      </c>
      <c r="T9" s="5">
        <v>1.5649999999999999</v>
      </c>
      <c r="U9" s="5">
        <v>1.5991</v>
      </c>
      <c r="V9" s="5">
        <v>1.4870000000000001</v>
      </c>
      <c r="W9" s="5">
        <v>1.5394000000000001</v>
      </c>
      <c r="X9" s="5">
        <v>1.6138999999999999</v>
      </c>
      <c r="Y9" s="5">
        <v>1.5329999999999999</v>
      </c>
      <c r="Z9" s="5">
        <v>1.4055</v>
      </c>
      <c r="AA9" s="5">
        <v>1.4215</v>
      </c>
      <c r="AB9" s="5">
        <v>1.4792000000000001</v>
      </c>
      <c r="AC9" s="5">
        <v>1.5</v>
      </c>
      <c r="AD9" s="5">
        <v>1.64</v>
      </c>
      <c r="AE9" s="5">
        <v>1.6406000000000001</v>
      </c>
      <c r="AF9" s="5">
        <v>1.5658000000000001</v>
      </c>
      <c r="AG9" s="5">
        <v>1.5980000000000001</v>
      </c>
      <c r="AH9" s="5">
        <v>1.4854000000000001</v>
      </c>
      <c r="AI9" s="5">
        <v>1.5367999999999999</v>
      </c>
      <c r="AJ9" s="5">
        <v>1.6128</v>
      </c>
      <c r="AK9" s="5">
        <v>1.5322</v>
      </c>
      <c r="AL9" s="5">
        <v>1.4063000000000001</v>
      </c>
      <c r="AM9" s="5">
        <v>1.4194</v>
      </c>
      <c r="AN9" s="5">
        <v>1.4774</v>
      </c>
      <c r="AO9" s="5">
        <v>1.4997</v>
      </c>
      <c r="AP9" s="5">
        <v>1.6362000000000001</v>
      </c>
      <c r="AQ9" s="5">
        <v>1.6366000000000001</v>
      </c>
      <c r="AR9" s="5">
        <v>1.5641</v>
      </c>
      <c r="AS9" s="5">
        <v>1.5949</v>
      </c>
      <c r="AT9" s="5">
        <v>1.4817</v>
      </c>
      <c r="AU9" s="5">
        <v>1.5309999999999999</v>
      </c>
      <c r="AV9" s="5">
        <v>1.6089</v>
      </c>
      <c r="AW9" s="5">
        <v>1.5286</v>
      </c>
      <c r="AX9" s="5">
        <v>1.2972999999999999</v>
      </c>
      <c r="AY9" s="5">
        <v>1.4147000000000001</v>
      </c>
      <c r="AZ9" s="5">
        <v>1.4603999999999999</v>
      </c>
      <c r="BA9" s="5">
        <v>1.4959</v>
      </c>
      <c r="BB9" s="5">
        <v>1.6294999999999999</v>
      </c>
      <c r="BC9" s="5">
        <v>1.6312</v>
      </c>
      <c r="BD9" s="5">
        <v>1.5616000000000001</v>
      </c>
      <c r="BE9" s="5">
        <v>1.5911</v>
      </c>
      <c r="BF9" s="5">
        <v>1.4771000000000001</v>
      </c>
      <c r="BG9" s="5">
        <v>1.5238</v>
      </c>
      <c r="BH9" s="5">
        <v>1.6041000000000001</v>
      </c>
      <c r="BI9" s="5">
        <v>1.5242</v>
      </c>
      <c r="BJ9" s="5">
        <v>1.2962</v>
      </c>
      <c r="BK9" s="5">
        <v>1.4106000000000001</v>
      </c>
      <c r="BL9" s="5">
        <v>1.4683999999999999</v>
      </c>
      <c r="BM9" s="5">
        <v>1.4918</v>
      </c>
      <c r="BN9" s="5">
        <v>1.6220000000000001</v>
      </c>
      <c r="BO9" s="5">
        <v>1.6254999999999999</v>
      </c>
      <c r="BP9" s="5">
        <v>1.5587</v>
      </c>
      <c r="BQ9" s="5">
        <v>1.5872999999999999</v>
      </c>
      <c r="BR9" s="5">
        <v>1.4721</v>
      </c>
      <c r="BS9" s="5">
        <v>1.5166999999999999</v>
      </c>
      <c r="BT9" s="5">
        <v>1.5987</v>
      </c>
      <c r="BU9" s="5">
        <v>1.5201</v>
      </c>
      <c r="BV9" s="5">
        <v>1.2957000000000001</v>
      </c>
      <c r="BW9" s="5">
        <v>1.4063000000000001</v>
      </c>
      <c r="BX9" s="5">
        <v>1.4641999999999999</v>
      </c>
      <c r="BY9" s="5">
        <v>1.4882</v>
      </c>
      <c r="BZ9" s="5">
        <v>1.6158999999999999</v>
      </c>
      <c r="CA9" s="5">
        <v>1.6211</v>
      </c>
      <c r="CB9" s="5">
        <v>1.5569</v>
      </c>
      <c r="CC9" s="5">
        <v>1.5846</v>
      </c>
      <c r="CD9" s="5">
        <v>1.4678</v>
      </c>
      <c r="CE9" s="5">
        <v>1.51</v>
      </c>
      <c r="CF9" s="5">
        <v>1.5942000000000001</v>
      </c>
      <c r="CG9" s="5">
        <v>1.516</v>
      </c>
      <c r="CH9" s="5">
        <v>1.2949999999999999</v>
      </c>
      <c r="CI9" s="5">
        <v>1.4015</v>
      </c>
      <c r="CJ9" s="5">
        <v>1.4593</v>
      </c>
      <c r="CK9" s="5">
        <v>1.4834000000000001</v>
      </c>
      <c r="CL9" s="5">
        <v>1.6086</v>
      </c>
      <c r="CM9" s="5">
        <v>1.6158999999999999</v>
      </c>
      <c r="CN9" s="5">
        <v>1.554</v>
      </c>
      <c r="CO9" s="5">
        <v>1.5803</v>
      </c>
      <c r="CP9" s="5">
        <v>1.4615</v>
      </c>
      <c r="CQ9" s="5">
        <v>1.5008999999999999</v>
      </c>
      <c r="CR9" s="5">
        <v>1.5961000000000001</v>
      </c>
      <c r="CS9" s="5">
        <v>1.5087999999999999</v>
      </c>
      <c r="CT9" s="5">
        <v>1.2926</v>
      </c>
      <c r="CU9" s="5">
        <v>1.3913</v>
      </c>
      <c r="CV9" s="5">
        <v>1.4419</v>
      </c>
      <c r="CW9" s="5">
        <v>1.4775</v>
      </c>
      <c r="CX9" s="5">
        <v>1.6008</v>
      </c>
      <c r="CY9" s="5">
        <v>1.6105</v>
      </c>
      <c r="CZ9" s="5">
        <v>1.5509999999999999</v>
      </c>
      <c r="DA9" s="5">
        <v>1.5761000000000001</v>
      </c>
      <c r="DB9" s="5">
        <v>1.4553</v>
      </c>
      <c r="DC9" s="5">
        <v>1.4921</v>
      </c>
      <c r="DD9" s="5">
        <v>1.5894999999999999</v>
      </c>
      <c r="DE9" s="5">
        <v>1.5021</v>
      </c>
      <c r="DF9" s="5">
        <v>1.2898000000000001</v>
      </c>
      <c r="DG9" s="5">
        <v>1.3882000000000001</v>
      </c>
      <c r="DH9" s="5">
        <v>1.4460999999999999</v>
      </c>
      <c r="DI9" s="5">
        <v>1.4704999999999999</v>
      </c>
      <c r="DJ9" s="5">
        <v>1.5916999999999999</v>
      </c>
      <c r="DK9" s="5">
        <v>1.6041000000000001</v>
      </c>
      <c r="DL9" s="5">
        <v>1.5468999999999999</v>
      </c>
      <c r="DM9" s="5">
        <v>1.5707</v>
      </c>
      <c r="DN9" s="5">
        <v>1.4480999999999999</v>
      </c>
      <c r="DO9" s="5">
        <v>1.4824999999999999</v>
      </c>
      <c r="DP9" s="5">
        <v>1.5817000000000001</v>
      </c>
      <c r="DQ9" s="5">
        <v>1.4947999999999999</v>
      </c>
      <c r="DR9" s="5">
        <v>1.2867999999999999</v>
      </c>
      <c r="DS9" s="5">
        <v>1.3813</v>
      </c>
      <c r="DT9" s="5">
        <v>1.4393</v>
      </c>
      <c r="DU9" s="5">
        <v>1.4638</v>
      </c>
      <c r="DV9" s="5">
        <v>1.5831999999999999</v>
      </c>
      <c r="DW9" s="5">
        <v>1.5986</v>
      </c>
      <c r="DX9" s="5">
        <v>1.5435000000000001</v>
      </c>
      <c r="DY9" s="5">
        <v>1.5662</v>
      </c>
      <c r="DZ9" s="5">
        <v>1.4414</v>
      </c>
      <c r="EA9" s="5">
        <v>1.4734</v>
      </c>
      <c r="EB9" s="5">
        <v>1.5743</v>
      </c>
      <c r="EC9" s="5">
        <v>1.4877</v>
      </c>
      <c r="ED9" s="5">
        <v>1.2843</v>
      </c>
      <c r="EE9" s="5">
        <v>1.3749</v>
      </c>
      <c r="EF9" s="5">
        <v>1.4333</v>
      </c>
      <c r="EG9" s="5">
        <v>1.458</v>
      </c>
      <c r="EH9" s="5">
        <v>1.5757000000000001</v>
      </c>
      <c r="EI9" s="5">
        <v>1.5938000000000001</v>
      </c>
      <c r="EJ9" s="5">
        <v>1.5406</v>
      </c>
      <c r="EK9" s="5">
        <v>1.5623</v>
      </c>
      <c r="EL9" s="5">
        <v>1.4358</v>
      </c>
      <c r="EM9" s="5">
        <v>1.4652000000000001</v>
      </c>
      <c r="EN9" s="5">
        <v>1.5679000000000001</v>
      </c>
      <c r="EO9" s="5">
        <v>1.4086000000000001</v>
      </c>
      <c r="EP9" s="5">
        <v>1.2814000000000001</v>
      </c>
      <c r="EQ9" s="5">
        <v>1.3050999999999999</v>
      </c>
      <c r="ER9" s="5">
        <v>1.4177999999999999</v>
      </c>
      <c r="ES9" s="5">
        <v>1.4512</v>
      </c>
      <c r="ET9" s="5">
        <v>1.5676000000000001</v>
      </c>
      <c r="EU9" s="5">
        <v>1.5891999999999999</v>
      </c>
      <c r="EV9" s="5">
        <v>1.538</v>
      </c>
      <c r="EW9" s="5">
        <v>1.5586</v>
      </c>
      <c r="EX9" s="5">
        <v>1.4294</v>
      </c>
      <c r="EY9" s="5">
        <v>1.4564999999999999</v>
      </c>
      <c r="EZ9" s="5">
        <v>1.5608</v>
      </c>
      <c r="FA9" s="5">
        <v>1.4038999999999999</v>
      </c>
      <c r="FB9" s="5">
        <v>1.2783</v>
      </c>
      <c r="FC9" s="5">
        <v>1.3613999999999999</v>
      </c>
      <c r="FD9" s="5">
        <v>1.4202999999999999</v>
      </c>
      <c r="FE9" s="5">
        <v>1.4444999999999999</v>
      </c>
      <c r="FF9" s="5">
        <v>1.5591999999999999</v>
      </c>
      <c r="FG9" s="5">
        <v>1.5841000000000001</v>
      </c>
      <c r="FH9" s="5">
        <v>1.5347</v>
      </c>
      <c r="FI9" s="5">
        <v>1.5544</v>
      </c>
      <c r="FJ9" s="5">
        <v>1.423</v>
      </c>
      <c r="FK9" s="5">
        <v>1.448</v>
      </c>
      <c r="FL9" s="5">
        <v>1.5533999999999999</v>
      </c>
      <c r="FM9" s="5">
        <v>1.3991</v>
      </c>
      <c r="FN9" s="5">
        <v>1.2761</v>
      </c>
      <c r="FO9" s="5">
        <v>1.3555999999999999</v>
      </c>
      <c r="FP9" s="5">
        <v>1.4151</v>
      </c>
      <c r="FQ9" s="5">
        <v>1.4394</v>
      </c>
      <c r="FR9" s="5">
        <v>1.5526</v>
      </c>
      <c r="FS9" s="5">
        <v>1.5803</v>
      </c>
      <c r="FT9" s="5">
        <v>1.5326</v>
      </c>
      <c r="FU9" s="5">
        <v>1.5513999999999999</v>
      </c>
      <c r="FV9" s="5">
        <v>1.4182999999999999</v>
      </c>
      <c r="FW9" s="5">
        <v>1.4411</v>
      </c>
      <c r="FX9" s="5">
        <v>1.5477000000000001</v>
      </c>
      <c r="FY9" s="5">
        <v>1.3956</v>
      </c>
    </row>
    <row r="10" spans="1:181" x14ac:dyDescent="0.3">
      <c r="A10" s="2">
        <v>2</v>
      </c>
      <c r="B10" s="5">
        <v>1.1654</v>
      </c>
      <c r="C10" s="5">
        <v>1.1259999999999999</v>
      </c>
      <c r="D10" s="5">
        <v>1.1926000000000001</v>
      </c>
      <c r="E10" s="5">
        <v>1.2392000000000001</v>
      </c>
      <c r="F10" s="5">
        <v>1.2802</v>
      </c>
      <c r="G10" s="5">
        <v>1.2514000000000001</v>
      </c>
      <c r="H10" s="5">
        <v>1.2759</v>
      </c>
      <c r="I10" s="5">
        <v>1.2706999999999999</v>
      </c>
      <c r="J10" s="5">
        <v>1.2361</v>
      </c>
      <c r="K10" s="5">
        <v>1.2358</v>
      </c>
      <c r="L10" s="5">
        <v>1.2</v>
      </c>
      <c r="M10" s="5">
        <v>1.212</v>
      </c>
      <c r="N10" s="5">
        <v>1.1576</v>
      </c>
      <c r="O10" s="5">
        <v>1.1132</v>
      </c>
      <c r="P10" s="5">
        <v>1.1977</v>
      </c>
      <c r="Q10" s="5">
        <v>1.2334000000000001</v>
      </c>
      <c r="R10" s="5">
        <v>1.2716000000000001</v>
      </c>
      <c r="S10" s="5">
        <v>1.2493000000000001</v>
      </c>
      <c r="T10" s="5">
        <v>1.276</v>
      </c>
      <c r="U10" s="5">
        <v>1.2723</v>
      </c>
      <c r="V10" s="5">
        <v>1.2358</v>
      </c>
      <c r="W10" s="5">
        <v>1.234</v>
      </c>
      <c r="X10" s="5">
        <v>1.1975</v>
      </c>
      <c r="Y10" s="5">
        <v>1.2079</v>
      </c>
      <c r="Z10" s="5">
        <v>1.1506000000000001</v>
      </c>
      <c r="AA10" s="5">
        <v>1.1119000000000001</v>
      </c>
      <c r="AB10" s="5">
        <v>1.1940999999999999</v>
      </c>
      <c r="AC10" s="5">
        <v>1.2299</v>
      </c>
      <c r="AD10" s="5">
        <v>1.2688999999999999</v>
      </c>
      <c r="AE10" s="5">
        <v>1.2483</v>
      </c>
      <c r="AF10" s="5">
        <v>1.2766</v>
      </c>
      <c r="AG10" s="5">
        <v>1.2716000000000001</v>
      </c>
      <c r="AH10" s="5">
        <v>1.2346999999999999</v>
      </c>
      <c r="AI10" s="5">
        <v>1.2317</v>
      </c>
      <c r="AJ10" s="5">
        <v>1.1954</v>
      </c>
      <c r="AK10" s="5">
        <v>1.2049000000000001</v>
      </c>
      <c r="AL10" s="5">
        <v>1.1496</v>
      </c>
      <c r="AM10" s="5">
        <v>1.1123000000000001</v>
      </c>
      <c r="AN10" s="5">
        <v>1.1937</v>
      </c>
      <c r="AO10" s="5">
        <v>1.2291000000000001</v>
      </c>
      <c r="AP10" s="5">
        <v>1.2673000000000001</v>
      </c>
      <c r="AQ10" s="5">
        <v>1.2473000000000001</v>
      </c>
      <c r="AR10" s="5">
        <v>1.2758</v>
      </c>
      <c r="AS10" s="5">
        <v>1.2704</v>
      </c>
      <c r="AT10" s="5">
        <v>1.2337</v>
      </c>
      <c r="AU10" s="5">
        <v>1.2302</v>
      </c>
      <c r="AV10" s="5">
        <v>1.1944999999999999</v>
      </c>
      <c r="AW10" s="5">
        <v>1.2038</v>
      </c>
      <c r="AX10" s="5">
        <v>1.1516999999999999</v>
      </c>
      <c r="AY10" s="5">
        <v>1.1231</v>
      </c>
      <c r="AZ10" s="5">
        <v>1.1788000000000001</v>
      </c>
      <c r="BA10" s="5">
        <v>1.2277</v>
      </c>
      <c r="BB10" s="5">
        <v>1.2649999999999999</v>
      </c>
      <c r="BC10" s="5">
        <v>1.2458</v>
      </c>
      <c r="BD10" s="5">
        <v>1.2748999999999999</v>
      </c>
      <c r="BE10" s="5">
        <v>1.2694000000000001</v>
      </c>
      <c r="BF10" s="5">
        <v>1.2325999999999999</v>
      </c>
      <c r="BG10" s="5">
        <v>1.2291000000000001</v>
      </c>
      <c r="BH10" s="5">
        <v>1.1938</v>
      </c>
      <c r="BI10" s="5">
        <v>1.2035</v>
      </c>
      <c r="BJ10" s="5">
        <v>1.1507000000000001</v>
      </c>
      <c r="BK10" s="5">
        <v>1.113</v>
      </c>
      <c r="BL10" s="5">
        <v>1.1921999999999999</v>
      </c>
      <c r="BM10" s="5">
        <v>1.2261</v>
      </c>
      <c r="BN10" s="5">
        <v>1.2625999999999999</v>
      </c>
      <c r="BO10" s="5">
        <v>1.2447999999999999</v>
      </c>
      <c r="BP10" s="5">
        <v>1.2738</v>
      </c>
      <c r="BQ10" s="5">
        <v>1.2682</v>
      </c>
      <c r="BR10" s="5">
        <v>1.2313000000000001</v>
      </c>
      <c r="BS10" s="5">
        <v>1.2277</v>
      </c>
      <c r="BT10" s="5">
        <v>1.1928000000000001</v>
      </c>
      <c r="BU10" s="5">
        <v>1.2028000000000001</v>
      </c>
      <c r="BV10" s="5">
        <v>1.1503000000000001</v>
      </c>
      <c r="BW10" s="5">
        <v>1.1138999999999999</v>
      </c>
      <c r="BX10" s="5">
        <v>1.1919999999999999</v>
      </c>
      <c r="BY10" s="5">
        <v>1.2251000000000001</v>
      </c>
      <c r="BZ10" s="5">
        <v>1.2605999999999999</v>
      </c>
      <c r="CA10" s="5">
        <v>1.244</v>
      </c>
      <c r="CB10" s="5">
        <v>1.2732000000000001</v>
      </c>
      <c r="CC10" s="5">
        <v>1.2677</v>
      </c>
      <c r="CD10" s="5">
        <v>1.2304999999999999</v>
      </c>
      <c r="CE10" s="5">
        <v>1.2266999999999999</v>
      </c>
      <c r="CF10" s="5">
        <v>1.1921999999999999</v>
      </c>
      <c r="CG10" s="5">
        <v>1.2025999999999999</v>
      </c>
      <c r="CH10" s="5">
        <v>1.1497999999999999</v>
      </c>
      <c r="CI10" s="5">
        <v>1.1144000000000001</v>
      </c>
      <c r="CJ10" s="5">
        <v>1.1914</v>
      </c>
      <c r="CK10" s="5">
        <v>1.2239</v>
      </c>
      <c r="CL10" s="5">
        <v>1.2582</v>
      </c>
      <c r="CM10" s="5">
        <v>1.2433000000000001</v>
      </c>
      <c r="CN10" s="5">
        <v>1.2718</v>
      </c>
      <c r="CO10" s="5">
        <v>1.2664</v>
      </c>
      <c r="CP10" s="5">
        <v>1.2283999999999999</v>
      </c>
      <c r="CQ10" s="5">
        <v>1.2250000000000001</v>
      </c>
      <c r="CR10" s="5">
        <v>1.1903999999999999</v>
      </c>
      <c r="CS10" s="5">
        <v>1.2012</v>
      </c>
      <c r="CT10" s="5">
        <v>1.1492</v>
      </c>
      <c r="CU10" s="5">
        <v>1.1238999999999999</v>
      </c>
      <c r="CV10" s="5">
        <v>1.1771</v>
      </c>
      <c r="CW10" s="5">
        <v>1.2222999999999999</v>
      </c>
      <c r="CX10" s="5">
        <v>1.2558</v>
      </c>
      <c r="CY10" s="5">
        <v>1.2422</v>
      </c>
      <c r="CZ10" s="5">
        <v>1.2699</v>
      </c>
      <c r="DA10" s="5">
        <v>1.2645999999999999</v>
      </c>
      <c r="DB10" s="5">
        <v>1.2261</v>
      </c>
      <c r="DC10" s="5">
        <v>1.2231000000000001</v>
      </c>
      <c r="DD10" s="5">
        <v>1.1893</v>
      </c>
      <c r="DE10" s="5">
        <v>1.2001999999999999</v>
      </c>
      <c r="DF10" s="5">
        <v>1.1478999999999999</v>
      </c>
      <c r="DG10" s="5">
        <v>1.1133</v>
      </c>
      <c r="DH10" s="5">
        <v>1.1893</v>
      </c>
      <c r="DI10" s="5">
        <v>1.2202999999999999</v>
      </c>
      <c r="DJ10" s="5">
        <v>1.2526999999999999</v>
      </c>
      <c r="DK10" s="5">
        <v>1.2406999999999999</v>
      </c>
      <c r="DL10" s="5">
        <v>1.2673000000000001</v>
      </c>
      <c r="DM10" s="5">
        <v>1.2624</v>
      </c>
      <c r="DN10" s="5">
        <v>1.2228000000000001</v>
      </c>
      <c r="DO10" s="5">
        <v>1.2205999999999999</v>
      </c>
      <c r="DP10" s="5">
        <v>1.1875</v>
      </c>
      <c r="DQ10" s="5">
        <v>1.1987000000000001</v>
      </c>
      <c r="DR10" s="5">
        <v>1.1472</v>
      </c>
      <c r="DS10" s="5">
        <v>1.1125</v>
      </c>
      <c r="DT10" s="5">
        <v>1.1882999999999999</v>
      </c>
      <c r="DU10" s="5">
        <v>1.2184999999999999</v>
      </c>
      <c r="DV10" s="5">
        <v>1.2499</v>
      </c>
      <c r="DW10" s="5">
        <v>1.2398</v>
      </c>
      <c r="DX10" s="5">
        <v>1.2652000000000001</v>
      </c>
      <c r="DY10" s="5">
        <v>1.2605999999999999</v>
      </c>
      <c r="DZ10" s="5">
        <v>1.2199</v>
      </c>
      <c r="EA10" s="5">
        <v>1.2183999999999999</v>
      </c>
      <c r="EB10" s="5">
        <v>1.1862999999999999</v>
      </c>
      <c r="EC10" s="5">
        <v>1.1973</v>
      </c>
      <c r="ED10" s="5">
        <v>1.1468</v>
      </c>
      <c r="EE10" s="5">
        <v>1.1123000000000001</v>
      </c>
      <c r="EF10" s="5">
        <v>1.1875</v>
      </c>
      <c r="EG10" s="5">
        <v>1.2170000000000001</v>
      </c>
      <c r="EH10" s="5">
        <v>1.2476</v>
      </c>
      <c r="EI10" s="5">
        <v>1.2391000000000001</v>
      </c>
      <c r="EJ10" s="5">
        <v>1.2633000000000001</v>
      </c>
      <c r="EK10" s="5">
        <v>1.2592000000000001</v>
      </c>
      <c r="EL10" s="5">
        <v>1.2177</v>
      </c>
      <c r="EM10" s="5">
        <v>1.2168000000000001</v>
      </c>
      <c r="EN10" s="5">
        <v>1.1853</v>
      </c>
      <c r="EO10" s="5">
        <v>1.1993</v>
      </c>
      <c r="EP10" s="5">
        <v>1.1464000000000001</v>
      </c>
      <c r="EQ10" s="5">
        <v>1.1237999999999999</v>
      </c>
      <c r="ER10" s="5">
        <v>1.1738</v>
      </c>
      <c r="ES10" s="5">
        <v>1.2154</v>
      </c>
      <c r="ET10" s="5">
        <v>1.2448999999999999</v>
      </c>
      <c r="EU10" s="5">
        <v>1.3260000000000001</v>
      </c>
      <c r="EV10" s="5">
        <v>1.2617</v>
      </c>
      <c r="EW10" s="5">
        <v>1.2576000000000001</v>
      </c>
      <c r="EX10" s="5">
        <v>1.2153</v>
      </c>
      <c r="EY10" s="5">
        <v>1.2148000000000001</v>
      </c>
      <c r="EZ10" s="5">
        <v>1.1840999999999999</v>
      </c>
      <c r="FA10" s="5">
        <v>1.1980999999999999</v>
      </c>
      <c r="FB10" s="5">
        <v>1.1455</v>
      </c>
      <c r="FC10" s="5">
        <v>1.1112</v>
      </c>
      <c r="FD10" s="5">
        <v>1.1853</v>
      </c>
      <c r="FE10" s="5">
        <v>1.2136</v>
      </c>
      <c r="FF10" s="5">
        <v>1.2421</v>
      </c>
      <c r="FG10" s="5">
        <v>1.2375</v>
      </c>
      <c r="FH10" s="5">
        <v>1.2602</v>
      </c>
      <c r="FI10" s="5">
        <v>1.2553000000000001</v>
      </c>
      <c r="FJ10" s="5">
        <v>1.2121999999999999</v>
      </c>
      <c r="FK10" s="5">
        <v>1.2124999999999999</v>
      </c>
      <c r="FL10" s="5">
        <v>1.1826000000000001</v>
      </c>
      <c r="FM10" s="5">
        <v>1.1967000000000001</v>
      </c>
      <c r="FN10" s="5">
        <v>1.1451</v>
      </c>
      <c r="FO10" s="5">
        <v>1.1109</v>
      </c>
      <c r="FP10" s="5">
        <v>1.1846000000000001</v>
      </c>
      <c r="FQ10" s="5">
        <v>1.2124999999999999</v>
      </c>
      <c r="FR10" s="5">
        <v>1.2402</v>
      </c>
      <c r="FS10" s="5">
        <v>1.2373000000000001</v>
      </c>
      <c r="FT10" s="5">
        <v>1.2591000000000001</v>
      </c>
      <c r="FU10" s="5">
        <v>1.2546999999999999</v>
      </c>
      <c r="FV10" s="5">
        <v>1.2101</v>
      </c>
      <c r="FW10" s="5">
        <v>1.2112000000000001</v>
      </c>
      <c r="FX10" s="5">
        <v>1.1817</v>
      </c>
      <c r="FY10" s="5">
        <v>1.1958</v>
      </c>
    </row>
    <row r="11" spans="1:181" x14ac:dyDescent="0.3">
      <c r="A11" s="2">
        <v>3</v>
      </c>
      <c r="B11" s="5">
        <v>0.96450000000000002</v>
      </c>
      <c r="C11" s="5">
        <v>0.95789999999999997</v>
      </c>
      <c r="D11" s="5">
        <v>0.95650000000000002</v>
      </c>
      <c r="E11" s="5">
        <v>0.92710000000000004</v>
      </c>
      <c r="F11" s="5">
        <v>0.94779999999999998</v>
      </c>
      <c r="G11" s="5">
        <v>0.93049999999999999</v>
      </c>
      <c r="H11" s="5">
        <v>0.91369999999999996</v>
      </c>
      <c r="I11" s="5">
        <v>0.92249999999999999</v>
      </c>
      <c r="J11" s="5">
        <v>0.93020000000000003</v>
      </c>
      <c r="K11" s="5">
        <v>0.91859999999999997</v>
      </c>
      <c r="L11" s="5">
        <v>0.94240000000000002</v>
      </c>
      <c r="M11" s="5">
        <v>0.96299999999999997</v>
      </c>
      <c r="N11" s="5">
        <v>0.96640000000000004</v>
      </c>
      <c r="O11" s="5">
        <v>0.97399999999999998</v>
      </c>
      <c r="P11" s="5">
        <v>0.9486</v>
      </c>
      <c r="Q11" s="5">
        <v>0.92230000000000001</v>
      </c>
      <c r="R11" s="5">
        <v>0.91690000000000005</v>
      </c>
      <c r="S11" s="5">
        <v>0.92459999999999998</v>
      </c>
      <c r="T11" s="5">
        <v>0.90529999999999999</v>
      </c>
      <c r="U11" s="5">
        <v>0.91859999999999997</v>
      </c>
      <c r="V11" s="5">
        <v>0.92859999999999998</v>
      </c>
      <c r="W11" s="5">
        <v>0.91500000000000004</v>
      </c>
      <c r="X11" s="5">
        <v>0.94210000000000005</v>
      </c>
      <c r="Y11" s="5">
        <v>0.96289999999999998</v>
      </c>
      <c r="Z11" s="5">
        <v>0.96730000000000005</v>
      </c>
      <c r="AA11" s="5">
        <v>0.97809999999999997</v>
      </c>
      <c r="AB11" s="5">
        <v>0.9486</v>
      </c>
      <c r="AC11" s="5">
        <v>0.92210000000000003</v>
      </c>
      <c r="AD11" s="5">
        <v>0.91139999999999999</v>
      </c>
      <c r="AE11" s="5">
        <v>0.92259999999999998</v>
      </c>
      <c r="AF11" s="5">
        <v>0.90180000000000005</v>
      </c>
      <c r="AG11" s="5">
        <v>0.91720000000000002</v>
      </c>
      <c r="AH11" s="5">
        <v>0.92810000000000004</v>
      </c>
      <c r="AI11" s="5">
        <v>0.91339999999999999</v>
      </c>
      <c r="AJ11" s="5">
        <v>0.94169999999999998</v>
      </c>
      <c r="AK11" s="5">
        <v>0.9627</v>
      </c>
      <c r="AL11" s="5">
        <v>0.96730000000000005</v>
      </c>
      <c r="AM11" s="5">
        <v>0.97860000000000003</v>
      </c>
      <c r="AN11" s="5">
        <v>0.94810000000000005</v>
      </c>
      <c r="AO11" s="5">
        <v>0.92120000000000002</v>
      </c>
      <c r="AP11" s="5">
        <v>0.90949999999999998</v>
      </c>
      <c r="AQ11" s="5">
        <v>0.92210000000000003</v>
      </c>
      <c r="AR11" s="5">
        <v>0.90069999999999995</v>
      </c>
      <c r="AS11" s="5">
        <v>0.91649999999999998</v>
      </c>
      <c r="AT11" s="5">
        <v>0.92789999999999995</v>
      </c>
      <c r="AU11" s="5">
        <v>0.91269999999999996</v>
      </c>
      <c r="AV11" s="5">
        <v>0.94099999999999995</v>
      </c>
      <c r="AW11" s="5">
        <v>0.96209999999999996</v>
      </c>
      <c r="AX11" s="5">
        <v>0.96699999999999997</v>
      </c>
      <c r="AY11" s="5">
        <v>0.96930000000000005</v>
      </c>
      <c r="AZ11" s="5">
        <v>0.95389999999999997</v>
      </c>
      <c r="BA11" s="5">
        <v>0.92069999999999996</v>
      </c>
      <c r="BB11" s="5">
        <v>0.90880000000000005</v>
      </c>
      <c r="BC11" s="5">
        <v>0.92210000000000003</v>
      </c>
      <c r="BD11" s="5">
        <v>0.9002</v>
      </c>
      <c r="BE11" s="5">
        <v>0.9163</v>
      </c>
      <c r="BF11" s="5">
        <v>0.92800000000000005</v>
      </c>
      <c r="BG11" s="5">
        <v>0.9123</v>
      </c>
      <c r="BH11" s="5">
        <v>0.94040000000000001</v>
      </c>
      <c r="BI11" s="5">
        <v>0.96130000000000004</v>
      </c>
      <c r="BJ11" s="5">
        <v>0.96650000000000003</v>
      </c>
      <c r="BK11" s="5">
        <v>0.97829999999999995</v>
      </c>
      <c r="BL11" s="5">
        <v>0.94740000000000002</v>
      </c>
      <c r="BM11" s="5">
        <v>0.9204</v>
      </c>
      <c r="BN11" s="5">
        <v>0.90849999999999997</v>
      </c>
      <c r="BO11" s="5">
        <v>0.92230000000000001</v>
      </c>
      <c r="BP11" s="5">
        <v>0.89990000000000003</v>
      </c>
      <c r="BQ11" s="5">
        <v>0.91610000000000003</v>
      </c>
      <c r="BR11" s="5">
        <v>0.92820000000000003</v>
      </c>
      <c r="BS11" s="5">
        <v>0.91210000000000002</v>
      </c>
      <c r="BT11" s="5">
        <v>0.93969999999999998</v>
      </c>
      <c r="BU11" s="5">
        <v>0.9607</v>
      </c>
      <c r="BV11" s="5">
        <v>0.96630000000000005</v>
      </c>
      <c r="BW11" s="5">
        <v>0.97840000000000005</v>
      </c>
      <c r="BX11" s="5">
        <v>0.94710000000000005</v>
      </c>
      <c r="BY11" s="5">
        <v>0.91990000000000005</v>
      </c>
      <c r="BZ11" s="5">
        <v>0.90790000000000004</v>
      </c>
      <c r="CA11" s="5">
        <v>0.92210000000000003</v>
      </c>
      <c r="CB11" s="5">
        <v>0.89929999999999999</v>
      </c>
      <c r="CC11" s="5">
        <v>0.91549999999999998</v>
      </c>
      <c r="CD11" s="5">
        <v>0.92820000000000003</v>
      </c>
      <c r="CE11" s="5">
        <v>0.91169999999999995</v>
      </c>
      <c r="CF11" s="5">
        <v>0.93899999999999995</v>
      </c>
      <c r="CG11" s="5">
        <v>0.96030000000000004</v>
      </c>
      <c r="CH11" s="5">
        <v>0.96599999999999997</v>
      </c>
      <c r="CI11" s="5">
        <v>0.97829999999999995</v>
      </c>
      <c r="CJ11" s="5">
        <v>0.94679999999999997</v>
      </c>
      <c r="CK11" s="5">
        <v>0.91969999999999996</v>
      </c>
      <c r="CL11" s="5">
        <v>0.90780000000000005</v>
      </c>
      <c r="CM11" s="5">
        <v>0.92230000000000001</v>
      </c>
      <c r="CN11" s="5">
        <v>0.89949999999999997</v>
      </c>
      <c r="CO11" s="5">
        <v>0.91549999999999998</v>
      </c>
      <c r="CP11" s="5">
        <v>0.92859999999999998</v>
      </c>
      <c r="CQ11" s="5">
        <v>0.91220000000000001</v>
      </c>
      <c r="CR11" s="5">
        <v>0.93889999999999996</v>
      </c>
      <c r="CS11" s="5">
        <v>0.95979999999999999</v>
      </c>
      <c r="CT11" s="5">
        <v>0.96579999999999999</v>
      </c>
      <c r="CU11" s="5">
        <v>0.96679999999999999</v>
      </c>
      <c r="CV11" s="5">
        <v>0.95269999999999999</v>
      </c>
      <c r="CW11" s="5">
        <v>0.91959999999999997</v>
      </c>
      <c r="CX11" s="5">
        <v>0.9083</v>
      </c>
      <c r="CY11" s="5">
        <v>0.9224</v>
      </c>
      <c r="CZ11" s="5">
        <v>0.9</v>
      </c>
      <c r="DA11" s="5">
        <v>0.91549999999999998</v>
      </c>
      <c r="DB11" s="5">
        <v>0.92889999999999995</v>
      </c>
      <c r="DC11" s="5">
        <v>0.91239999999999999</v>
      </c>
      <c r="DD11" s="5">
        <v>0.93869999999999998</v>
      </c>
      <c r="DE11" s="5">
        <v>0.95960000000000001</v>
      </c>
      <c r="DF11" s="5">
        <v>0.96589999999999998</v>
      </c>
      <c r="DG11" s="5">
        <v>0.97670000000000001</v>
      </c>
      <c r="DH11" s="5">
        <v>0.94679999999999997</v>
      </c>
      <c r="DI11" s="5">
        <v>0.92</v>
      </c>
      <c r="DJ11" s="5">
        <v>0.90900000000000003</v>
      </c>
      <c r="DK11" s="5">
        <v>0.92279999999999995</v>
      </c>
      <c r="DL11" s="5">
        <v>0.90080000000000005</v>
      </c>
      <c r="DM11" s="5">
        <v>0.91569999999999996</v>
      </c>
      <c r="DN11" s="5">
        <v>0.9294</v>
      </c>
      <c r="DO11" s="5">
        <v>0.91310000000000002</v>
      </c>
      <c r="DP11" s="5">
        <v>0.93879999999999997</v>
      </c>
      <c r="DQ11" s="5">
        <v>0.95960000000000001</v>
      </c>
      <c r="DR11" s="5">
        <v>0.9657</v>
      </c>
      <c r="DS11" s="5">
        <v>0.97619999999999996</v>
      </c>
      <c r="DT11" s="5">
        <v>0.94689999999999996</v>
      </c>
      <c r="DU11" s="5">
        <v>0.92010000000000003</v>
      </c>
      <c r="DV11" s="5">
        <v>0.90969999999999995</v>
      </c>
      <c r="DW11" s="5">
        <v>0.92310000000000003</v>
      </c>
      <c r="DX11" s="5">
        <v>0.90200000000000002</v>
      </c>
      <c r="DY11" s="5">
        <v>0.91559999999999997</v>
      </c>
      <c r="DZ11" s="5">
        <v>0.92989999999999995</v>
      </c>
      <c r="EA11" s="5">
        <v>0.91369999999999996</v>
      </c>
      <c r="EB11" s="5">
        <v>0.93879999999999997</v>
      </c>
      <c r="EC11" s="5">
        <v>0.95940000000000003</v>
      </c>
      <c r="ED11" s="5">
        <v>0.96550000000000002</v>
      </c>
      <c r="EE11" s="5">
        <v>0.97529999999999994</v>
      </c>
      <c r="EF11" s="5">
        <v>0.94679999999999997</v>
      </c>
      <c r="EG11" s="5">
        <v>0.92010000000000003</v>
      </c>
      <c r="EH11" s="5">
        <v>0.9103</v>
      </c>
      <c r="EI11" s="5">
        <v>0.92320000000000002</v>
      </c>
      <c r="EJ11" s="5">
        <v>0.90300000000000002</v>
      </c>
      <c r="EK11" s="5">
        <v>0.91559999999999997</v>
      </c>
      <c r="EL11" s="5">
        <v>0.93049999999999999</v>
      </c>
      <c r="EM11" s="5">
        <v>0.91420000000000001</v>
      </c>
      <c r="EN11" s="5">
        <v>0.93879999999999997</v>
      </c>
      <c r="EO11" s="5">
        <v>0.95920000000000005</v>
      </c>
      <c r="EP11" s="5">
        <v>0.96550000000000002</v>
      </c>
      <c r="EQ11" s="5">
        <v>0.96360000000000001</v>
      </c>
      <c r="ER11" s="5">
        <v>0.95289999999999997</v>
      </c>
      <c r="ES11" s="5">
        <v>0.92020000000000002</v>
      </c>
      <c r="ET11" s="5">
        <v>0.91100000000000003</v>
      </c>
      <c r="EU11" s="5">
        <v>0.9788</v>
      </c>
      <c r="EV11" s="5">
        <v>0.90390000000000004</v>
      </c>
      <c r="EW11" s="5">
        <v>0.91539999999999999</v>
      </c>
      <c r="EX11" s="5">
        <v>0.93110000000000004</v>
      </c>
      <c r="EY11" s="5">
        <v>0.91469999999999996</v>
      </c>
      <c r="EZ11" s="5">
        <v>0.93899999999999995</v>
      </c>
      <c r="FA11" s="5">
        <v>0.95920000000000005</v>
      </c>
      <c r="FB11" s="5">
        <v>0.96550000000000002</v>
      </c>
      <c r="FC11" s="5">
        <v>0.97389999999999999</v>
      </c>
      <c r="FD11" s="5">
        <v>0.94699999999999995</v>
      </c>
      <c r="FE11" s="5">
        <v>0.92049999999999998</v>
      </c>
      <c r="FF11" s="5">
        <v>0.91169999999999995</v>
      </c>
      <c r="FG11" s="5">
        <v>0.9234</v>
      </c>
      <c r="FH11" s="5">
        <v>0.90469999999999995</v>
      </c>
      <c r="FI11" s="5">
        <v>0.91549999999999998</v>
      </c>
      <c r="FJ11" s="5">
        <v>0.93169999999999997</v>
      </c>
      <c r="FK11" s="5">
        <v>0.9153</v>
      </c>
      <c r="FL11" s="5">
        <v>0.93920000000000003</v>
      </c>
      <c r="FM11" s="5">
        <v>0.95930000000000004</v>
      </c>
      <c r="FN11" s="5">
        <v>0.96530000000000005</v>
      </c>
      <c r="FO11" s="5">
        <v>0.97319999999999995</v>
      </c>
      <c r="FP11" s="5">
        <v>0.94689999999999996</v>
      </c>
      <c r="FQ11" s="5">
        <v>0.92049999999999998</v>
      </c>
      <c r="FR11" s="5">
        <v>0.91210000000000002</v>
      </c>
      <c r="FS11" s="5">
        <v>0.92320000000000002</v>
      </c>
      <c r="FT11" s="5">
        <v>0.90510000000000002</v>
      </c>
      <c r="FU11" s="5">
        <v>0.91539999999999999</v>
      </c>
      <c r="FV11" s="5">
        <v>0.93200000000000005</v>
      </c>
      <c r="FW11" s="5">
        <v>0.91569999999999996</v>
      </c>
      <c r="FX11" s="5">
        <v>0.93910000000000005</v>
      </c>
      <c r="FY11" s="5">
        <v>0.95899999999999996</v>
      </c>
    </row>
    <row r="12" spans="1:181" x14ac:dyDescent="0.3">
      <c r="A12" s="2">
        <v>4</v>
      </c>
      <c r="B12" s="5">
        <v>0.68130000000000002</v>
      </c>
      <c r="C12" s="5">
        <v>0.74890000000000001</v>
      </c>
      <c r="D12" s="5">
        <v>0.72170000000000001</v>
      </c>
      <c r="E12" s="5">
        <v>0.67220000000000002</v>
      </c>
      <c r="F12" s="5">
        <v>0.69799999999999995</v>
      </c>
      <c r="G12" s="5">
        <v>0.7036</v>
      </c>
      <c r="H12" s="5">
        <v>0.72109999999999996</v>
      </c>
      <c r="I12" s="5">
        <v>0.6724</v>
      </c>
      <c r="J12" s="5">
        <v>0.7167</v>
      </c>
      <c r="K12" s="5">
        <v>0.73509999999999998</v>
      </c>
      <c r="L12" s="5">
        <v>0.71509999999999996</v>
      </c>
      <c r="M12" s="5">
        <v>0.71830000000000005</v>
      </c>
      <c r="N12" s="5">
        <v>0.67190000000000005</v>
      </c>
      <c r="O12" s="5">
        <v>0.79979999999999996</v>
      </c>
      <c r="P12" s="5">
        <v>0.71460000000000001</v>
      </c>
      <c r="Q12" s="5">
        <v>0.66839999999999999</v>
      </c>
      <c r="R12" s="5">
        <v>0.67920000000000003</v>
      </c>
      <c r="S12" s="5">
        <v>0.72609999999999997</v>
      </c>
      <c r="T12" s="5">
        <v>0.76319999999999999</v>
      </c>
      <c r="U12" s="5">
        <v>0.69940000000000002</v>
      </c>
      <c r="V12" s="5">
        <v>0.7419</v>
      </c>
      <c r="W12" s="5">
        <v>0.74639999999999995</v>
      </c>
      <c r="X12" s="5">
        <v>0.72009999999999996</v>
      </c>
      <c r="Y12" s="5">
        <v>0.72160000000000002</v>
      </c>
      <c r="Z12" s="5">
        <v>0.66820000000000002</v>
      </c>
      <c r="AA12" s="5">
        <v>0.81330000000000002</v>
      </c>
      <c r="AB12" s="5">
        <v>0.72130000000000005</v>
      </c>
      <c r="AC12" s="5">
        <v>0.6784</v>
      </c>
      <c r="AD12" s="5">
        <v>0.68030000000000002</v>
      </c>
      <c r="AE12" s="5">
        <v>0.74050000000000005</v>
      </c>
      <c r="AF12" s="5">
        <v>0.78639999999999999</v>
      </c>
      <c r="AG12" s="5">
        <v>0.71730000000000005</v>
      </c>
      <c r="AH12" s="5">
        <v>0.75980000000000003</v>
      </c>
      <c r="AI12" s="5">
        <v>0.75609999999999999</v>
      </c>
      <c r="AJ12" s="5">
        <v>0.72460000000000002</v>
      </c>
      <c r="AK12" s="5">
        <v>0.72550000000000003</v>
      </c>
      <c r="AL12" s="5">
        <v>0.66659999999999997</v>
      </c>
      <c r="AM12" s="5">
        <v>0.8155</v>
      </c>
      <c r="AN12" s="5">
        <v>0.72160000000000002</v>
      </c>
      <c r="AO12" s="5">
        <v>0.67589999999999995</v>
      </c>
      <c r="AP12" s="5">
        <v>0.67669999999999997</v>
      </c>
      <c r="AQ12" s="5">
        <v>0.74170000000000003</v>
      </c>
      <c r="AR12" s="5">
        <v>0.78869999999999996</v>
      </c>
      <c r="AS12" s="5">
        <v>0.71960000000000002</v>
      </c>
      <c r="AT12" s="5">
        <v>0.76619999999999999</v>
      </c>
      <c r="AU12" s="5">
        <v>0.7601</v>
      </c>
      <c r="AV12" s="5">
        <v>0.72519999999999996</v>
      </c>
      <c r="AW12" s="5">
        <v>0.72529999999999994</v>
      </c>
      <c r="AX12" s="5">
        <v>0.66669999999999996</v>
      </c>
      <c r="AY12" s="5">
        <v>0.7984</v>
      </c>
      <c r="AZ12" s="5">
        <v>0.73519999999999996</v>
      </c>
      <c r="BA12" s="5">
        <v>0.67179999999999995</v>
      </c>
      <c r="BB12" s="5">
        <v>0.67359999999999998</v>
      </c>
      <c r="BC12" s="5">
        <v>0.74080000000000001</v>
      </c>
      <c r="BD12" s="5">
        <v>0.78910000000000002</v>
      </c>
      <c r="BE12" s="5">
        <v>0.71740000000000004</v>
      </c>
      <c r="BF12" s="5">
        <v>0.76890000000000003</v>
      </c>
      <c r="BG12" s="5">
        <v>0.7621</v>
      </c>
      <c r="BH12" s="5">
        <v>0.72519999999999996</v>
      </c>
      <c r="BI12" s="5">
        <v>0.72489999999999999</v>
      </c>
      <c r="BJ12" s="5">
        <v>0.66590000000000005</v>
      </c>
      <c r="BK12" s="5">
        <v>0.81630000000000003</v>
      </c>
      <c r="BL12" s="5">
        <v>0.72089999999999999</v>
      </c>
      <c r="BM12" s="5">
        <v>0.66820000000000002</v>
      </c>
      <c r="BN12" s="5">
        <v>0.67230000000000001</v>
      </c>
      <c r="BO12" s="5">
        <v>0.73729999999999996</v>
      </c>
      <c r="BP12" s="5">
        <v>0.78910000000000002</v>
      </c>
      <c r="BQ12" s="5">
        <v>0.7147</v>
      </c>
      <c r="BR12" s="5">
        <v>0.77049999999999996</v>
      </c>
      <c r="BS12" s="5">
        <v>0.76380000000000003</v>
      </c>
      <c r="BT12" s="5">
        <v>0.72430000000000005</v>
      </c>
      <c r="BU12" s="5">
        <v>0.72430000000000005</v>
      </c>
      <c r="BV12" s="5">
        <v>0.66549999999999998</v>
      </c>
      <c r="BW12" s="5">
        <v>0.81669999999999998</v>
      </c>
      <c r="BX12" s="5">
        <v>0.72019999999999995</v>
      </c>
      <c r="BY12" s="5">
        <v>0.66390000000000005</v>
      </c>
      <c r="BZ12" s="5">
        <v>0.67010000000000003</v>
      </c>
      <c r="CA12" s="5">
        <v>0.73329999999999995</v>
      </c>
      <c r="CB12" s="5">
        <v>0.78839999999999999</v>
      </c>
      <c r="CC12" s="5">
        <v>0.71189999999999998</v>
      </c>
      <c r="CD12" s="5">
        <v>0.77280000000000004</v>
      </c>
      <c r="CE12" s="5">
        <v>0.76549999999999996</v>
      </c>
      <c r="CF12" s="5">
        <v>0.72340000000000004</v>
      </c>
      <c r="CG12" s="5">
        <v>0.72360000000000002</v>
      </c>
      <c r="CH12" s="5">
        <v>0.66459999999999997</v>
      </c>
      <c r="CI12" s="5">
        <v>0.81669999999999998</v>
      </c>
      <c r="CJ12" s="5">
        <v>0.71940000000000004</v>
      </c>
      <c r="CK12" s="5">
        <v>0.66059999999999997</v>
      </c>
      <c r="CL12" s="5">
        <v>0.66859999999999997</v>
      </c>
      <c r="CM12" s="5">
        <v>0.72860000000000003</v>
      </c>
      <c r="CN12" s="5">
        <v>0.78410000000000002</v>
      </c>
      <c r="CO12" s="5">
        <v>0.70630000000000004</v>
      </c>
      <c r="CP12" s="5">
        <v>0.77370000000000005</v>
      </c>
      <c r="CQ12" s="5">
        <v>0.76739999999999997</v>
      </c>
      <c r="CR12" s="5">
        <v>0.72399999999999998</v>
      </c>
      <c r="CS12" s="5">
        <v>0.72399999999999998</v>
      </c>
      <c r="CT12" s="5">
        <v>0.6653</v>
      </c>
      <c r="CU12" s="5">
        <v>0.79530000000000001</v>
      </c>
      <c r="CV12" s="5">
        <v>0.73309999999999997</v>
      </c>
      <c r="CW12" s="5">
        <v>0.65790000000000004</v>
      </c>
      <c r="CX12" s="5">
        <v>0.66830000000000001</v>
      </c>
      <c r="CY12" s="5">
        <v>0.72130000000000005</v>
      </c>
      <c r="CZ12" s="5">
        <v>0.77700000000000002</v>
      </c>
      <c r="DA12" s="5">
        <v>0.69610000000000005</v>
      </c>
      <c r="DB12" s="5">
        <v>0.77339999999999998</v>
      </c>
      <c r="DC12" s="5">
        <v>0.76790000000000003</v>
      </c>
      <c r="DD12" s="5">
        <v>0.72399999999999998</v>
      </c>
      <c r="DE12" s="5">
        <v>0.7248</v>
      </c>
      <c r="DF12" s="5">
        <v>0.66739999999999999</v>
      </c>
      <c r="DG12" s="5">
        <v>0.81589999999999996</v>
      </c>
      <c r="DH12" s="5">
        <v>0.72040000000000004</v>
      </c>
      <c r="DI12" s="5">
        <v>0.65690000000000004</v>
      </c>
      <c r="DJ12" s="5">
        <v>0.66830000000000001</v>
      </c>
      <c r="DK12" s="5">
        <v>0.7147</v>
      </c>
      <c r="DL12" s="5">
        <v>0.76870000000000005</v>
      </c>
      <c r="DM12" s="5">
        <v>0.68720000000000003</v>
      </c>
      <c r="DN12" s="5">
        <v>0.77280000000000004</v>
      </c>
      <c r="DO12" s="5">
        <v>0.76890000000000003</v>
      </c>
      <c r="DP12" s="5">
        <v>0.72440000000000004</v>
      </c>
      <c r="DQ12" s="5">
        <v>0.72529999999999994</v>
      </c>
      <c r="DR12" s="5">
        <v>0.66859999999999997</v>
      </c>
      <c r="DS12" s="5">
        <v>0.81559999999999999</v>
      </c>
      <c r="DT12" s="5">
        <v>0.72089999999999999</v>
      </c>
      <c r="DU12" s="5">
        <v>0.65510000000000002</v>
      </c>
      <c r="DV12" s="5">
        <v>0.66859999999999997</v>
      </c>
      <c r="DW12" s="5">
        <v>0.70820000000000005</v>
      </c>
      <c r="DX12" s="5">
        <v>0.75560000000000005</v>
      </c>
      <c r="DY12" s="5">
        <v>0.67689999999999995</v>
      </c>
      <c r="DZ12" s="5">
        <v>0.77200000000000002</v>
      </c>
      <c r="EA12" s="5">
        <v>0.76900000000000002</v>
      </c>
      <c r="EB12" s="5">
        <v>0.72450000000000003</v>
      </c>
      <c r="EC12" s="5">
        <v>0.72570000000000001</v>
      </c>
      <c r="ED12" s="5">
        <v>0.66959999999999997</v>
      </c>
      <c r="EE12" s="5">
        <v>0.81459999999999999</v>
      </c>
      <c r="EF12" s="5">
        <v>0.7208</v>
      </c>
      <c r="EG12" s="5">
        <v>0.65349999999999997</v>
      </c>
      <c r="EH12" s="5">
        <v>0.66839999999999999</v>
      </c>
      <c r="EI12" s="5">
        <v>0.70220000000000005</v>
      </c>
      <c r="EJ12" s="5">
        <v>0.74299999999999999</v>
      </c>
      <c r="EK12" s="5">
        <v>0.66710000000000003</v>
      </c>
      <c r="EL12" s="5">
        <v>0.7702</v>
      </c>
      <c r="EM12" s="5">
        <v>0.76910000000000001</v>
      </c>
      <c r="EN12" s="5">
        <v>0.72470000000000001</v>
      </c>
      <c r="EO12" s="5">
        <v>0.72619999999999996</v>
      </c>
      <c r="EP12" s="5">
        <v>0.67110000000000003</v>
      </c>
      <c r="EQ12" s="5">
        <v>0.78490000000000004</v>
      </c>
      <c r="ER12" s="5">
        <v>0.73380000000000001</v>
      </c>
      <c r="ES12" s="5">
        <v>0.65229999999999999</v>
      </c>
      <c r="ET12" s="5">
        <v>0.66920000000000002</v>
      </c>
      <c r="EU12" s="5">
        <v>0.8276</v>
      </c>
      <c r="EV12" s="5">
        <v>0.72750000000000004</v>
      </c>
      <c r="EW12" s="5">
        <v>0.65900000000000003</v>
      </c>
      <c r="EX12" s="5">
        <v>0.76859999999999995</v>
      </c>
      <c r="EY12" s="5">
        <v>0.76870000000000005</v>
      </c>
      <c r="EZ12" s="5">
        <v>0.72519999999999996</v>
      </c>
      <c r="FA12" s="5">
        <v>0.72670000000000001</v>
      </c>
      <c r="FB12" s="5">
        <v>0.67220000000000002</v>
      </c>
      <c r="FC12" s="5">
        <v>0.81210000000000004</v>
      </c>
      <c r="FD12" s="5">
        <v>0.72119999999999995</v>
      </c>
      <c r="FE12" s="5">
        <v>0.65190000000000003</v>
      </c>
      <c r="FF12" s="5">
        <v>0.66990000000000005</v>
      </c>
      <c r="FG12" s="5">
        <v>0.69169999999999998</v>
      </c>
      <c r="FH12" s="5">
        <v>0.71419999999999995</v>
      </c>
      <c r="FI12" s="5">
        <v>0.64990000000000003</v>
      </c>
      <c r="FJ12" s="5">
        <v>0.76590000000000003</v>
      </c>
      <c r="FK12" s="5">
        <v>0.76900000000000002</v>
      </c>
      <c r="FL12" s="5">
        <v>0.7258</v>
      </c>
      <c r="FM12" s="5">
        <v>0.72740000000000005</v>
      </c>
      <c r="FN12" s="5">
        <v>0.67290000000000005</v>
      </c>
      <c r="FO12" s="5">
        <v>0.81089999999999995</v>
      </c>
      <c r="FP12" s="5">
        <v>0.7208</v>
      </c>
      <c r="FQ12" s="5">
        <v>0.65069999999999995</v>
      </c>
      <c r="FR12" s="5">
        <v>0.6704</v>
      </c>
      <c r="FS12" s="5">
        <v>0.68789999999999996</v>
      </c>
      <c r="FT12" s="5">
        <v>0.70179999999999998</v>
      </c>
      <c r="FU12" s="5">
        <v>0.64390000000000003</v>
      </c>
      <c r="FV12" s="5">
        <v>0.76270000000000004</v>
      </c>
      <c r="FW12" s="5">
        <v>0.76859999999999995</v>
      </c>
      <c r="FX12" s="5">
        <v>0.72529999999999994</v>
      </c>
      <c r="FY12" s="5">
        <v>0.72750000000000004</v>
      </c>
    </row>
    <row r="14" spans="1:181" x14ac:dyDescent="0.3">
      <c r="A14" s="4">
        <v>3</v>
      </c>
      <c r="B14" s="1">
        <v>45292</v>
      </c>
      <c r="C14" s="1">
        <v>45323</v>
      </c>
      <c r="D14" s="1">
        <v>45352</v>
      </c>
      <c r="E14" s="1">
        <v>45383</v>
      </c>
      <c r="F14" s="1">
        <v>45413</v>
      </c>
      <c r="G14" s="1">
        <v>45444</v>
      </c>
      <c r="H14" s="1">
        <v>45474</v>
      </c>
      <c r="I14" s="1">
        <v>45505</v>
      </c>
      <c r="J14" s="1">
        <v>45536</v>
      </c>
      <c r="K14" s="1">
        <v>45566</v>
      </c>
      <c r="L14" s="1">
        <v>45597</v>
      </c>
      <c r="M14" s="1">
        <v>45627</v>
      </c>
      <c r="N14" s="1">
        <v>45658</v>
      </c>
      <c r="O14" s="1">
        <v>45689</v>
      </c>
      <c r="P14" s="1">
        <v>45717</v>
      </c>
      <c r="Q14" s="1">
        <v>45748</v>
      </c>
      <c r="R14" s="1">
        <v>45778</v>
      </c>
      <c r="S14" s="1">
        <v>45809</v>
      </c>
      <c r="T14" s="1">
        <v>45839</v>
      </c>
      <c r="U14" s="1">
        <v>45870</v>
      </c>
      <c r="V14" s="1">
        <v>45901</v>
      </c>
      <c r="W14" s="1">
        <v>45931</v>
      </c>
      <c r="X14" s="1">
        <v>45962</v>
      </c>
      <c r="Y14" s="1">
        <v>45992</v>
      </c>
      <c r="Z14" s="1">
        <v>46023</v>
      </c>
      <c r="AA14" s="1">
        <v>46054</v>
      </c>
      <c r="AB14" s="1">
        <v>46082</v>
      </c>
      <c r="AC14" s="1">
        <v>46113</v>
      </c>
      <c r="AD14" s="1">
        <v>46143</v>
      </c>
      <c r="AE14" s="1">
        <v>46174</v>
      </c>
      <c r="AF14" s="1">
        <v>46204</v>
      </c>
      <c r="AG14" s="1">
        <v>46235</v>
      </c>
      <c r="AH14" s="1">
        <v>46266</v>
      </c>
      <c r="AI14" s="1">
        <v>46296</v>
      </c>
      <c r="AJ14" s="1">
        <v>46327</v>
      </c>
      <c r="AK14" s="1">
        <v>46357</v>
      </c>
      <c r="AL14" s="1">
        <v>46388</v>
      </c>
      <c r="AM14" s="1">
        <v>46419</v>
      </c>
      <c r="AN14" s="1">
        <v>46447</v>
      </c>
      <c r="AO14" s="1">
        <v>46478</v>
      </c>
      <c r="AP14" s="1">
        <v>46508</v>
      </c>
      <c r="AQ14" s="1">
        <v>46539</v>
      </c>
      <c r="AR14" s="1">
        <v>46569</v>
      </c>
      <c r="AS14" s="1">
        <v>46600</v>
      </c>
      <c r="AT14" s="1">
        <v>46631</v>
      </c>
      <c r="AU14" s="1">
        <v>46661</v>
      </c>
      <c r="AV14" s="1">
        <v>46692</v>
      </c>
      <c r="AW14" s="1">
        <v>46722</v>
      </c>
      <c r="AX14" s="1">
        <v>46753</v>
      </c>
      <c r="AY14" s="1">
        <v>46784</v>
      </c>
      <c r="AZ14" s="1">
        <v>46813</v>
      </c>
      <c r="BA14" s="1">
        <v>46844</v>
      </c>
      <c r="BB14" s="1">
        <v>46874</v>
      </c>
      <c r="BC14" s="1">
        <v>46905</v>
      </c>
      <c r="BD14" s="1">
        <v>46935</v>
      </c>
      <c r="BE14" s="1">
        <v>46966</v>
      </c>
      <c r="BF14" s="1">
        <v>46997</v>
      </c>
      <c r="BG14" s="1">
        <v>47027</v>
      </c>
      <c r="BH14" s="1">
        <v>47058</v>
      </c>
      <c r="BI14" s="1">
        <v>47088</v>
      </c>
      <c r="BJ14" s="1">
        <v>47119</v>
      </c>
      <c r="BK14" s="1">
        <v>47150</v>
      </c>
      <c r="BL14" s="1">
        <v>47178</v>
      </c>
      <c r="BM14" s="1">
        <v>47209</v>
      </c>
      <c r="BN14" s="1">
        <v>47239</v>
      </c>
      <c r="BO14" s="1">
        <v>47270</v>
      </c>
      <c r="BP14" s="1">
        <v>47300</v>
      </c>
      <c r="BQ14" s="1">
        <v>47331</v>
      </c>
      <c r="BR14" s="1">
        <v>47362</v>
      </c>
      <c r="BS14" s="1">
        <v>47392</v>
      </c>
      <c r="BT14" s="1">
        <v>47423</v>
      </c>
      <c r="BU14" s="1">
        <v>47453</v>
      </c>
      <c r="BV14" s="1">
        <v>47484</v>
      </c>
      <c r="BW14" s="1">
        <v>47515</v>
      </c>
      <c r="BX14" s="1">
        <v>47543</v>
      </c>
      <c r="BY14" s="1">
        <v>47574</v>
      </c>
      <c r="BZ14" s="1">
        <v>47604</v>
      </c>
      <c r="CA14" s="1">
        <v>47635</v>
      </c>
      <c r="CB14" s="1">
        <v>47665</v>
      </c>
      <c r="CC14" s="1">
        <v>47696</v>
      </c>
      <c r="CD14" s="1">
        <v>47727</v>
      </c>
      <c r="CE14" s="1">
        <v>47757</v>
      </c>
      <c r="CF14" s="1">
        <v>47788</v>
      </c>
      <c r="CG14" s="1">
        <v>47818</v>
      </c>
      <c r="CH14" s="1">
        <v>47849</v>
      </c>
      <c r="CI14" s="1">
        <v>47880</v>
      </c>
      <c r="CJ14" s="1">
        <v>47908</v>
      </c>
      <c r="CK14" s="1">
        <v>47939</v>
      </c>
      <c r="CL14" s="1">
        <v>47969</v>
      </c>
      <c r="CM14" s="1">
        <v>48000</v>
      </c>
      <c r="CN14" s="1">
        <v>48030</v>
      </c>
      <c r="CO14" s="1">
        <v>48061</v>
      </c>
      <c r="CP14" s="1">
        <v>48092</v>
      </c>
      <c r="CQ14" s="1">
        <v>48122</v>
      </c>
      <c r="CR14" s="1">
        <v>48153</v>
      </c>
      <c r="CS14" s="1">
        <v>48183</v>
      </c>
      <c r="CT14" s="1">
        <v>48214</v>
      </c>
      <c r="CU14" s="1">
        <v>48245</v>
      </c>
      <c r="CV14" s="1">
        <v>48274</v>
      </c>
      <c r="CW14" s="1">
        <v>48305</v>
      </c>
      <c r="CX14" s="1">
        <v>48335</v>
      </c>
      <c r="CY14" s="1">
        <v>48366</v>
      </c>
      <c r="CZ14" s="1">
        <v>48396</v>
      </c>
      <c r="DA14" s="1">
        <v>48427</v>
      </c>
      <c r="DB14" s="1">
        <v>48458</v>
      </c>
      <c r="DC14" s="1">
        <v>48488</v>
      </c>
      <c r="DD14" s="1">
        <v>48519</v>
      </c>
      <c r="DE14" s="1">
        <v>48549</v>
      </c>
      <c r="DF14" s="1">
        <v>48580</v>
      </c>
      <c r="DG14" s="1">
        <v>48611</v>
      </c>
      <c r="DH14" s="1">
        <v>48639</v>
      </c>
      <c r="DI14" s="1">
        <v>48670</v>
      </c>
      <c r="DJ14" s="1">
        <v>48700</v>
      </c>
      <c r="DK14" s="1">
        <v>48731</v>
      </c>
      <c r="DL14" s="1">
        <v>48761</v>
      </c>
      <c r="DM14" s="1">
        <v>48792</v>
      </c>
      <c r="DN14" s="1">
        <v>48823</v>
      </c>
      <c r="DO14" s="1">
        <v>48853</v>
      </c>
      <c r="DP14" s="1">
        <v>48884</v>
      </c>
      <c r="DQ14" s="1">
        <v>48914</v>
      </c>
      <c r="DR14" s="1">
        <v>48945</v>
      </c>
      <c r="DS14" s="1">
        <v>48976</v>
      </c>
      <c r="DT14" s="1">
        <v>49004</v>
      </c>
      <c r="DU14" s="1">
        <v>49035</v>
      </c>
      <c r="DV14" s="1">
        <v>49065</v>
      </c>
      <c r="DW14" s="1">
        <v>49096</v>
      </c>
      <c r="DX14" s="1">
        <v>49126</v>
      </c>
      <c r="DY14" s="1">
        <v>49157</v>
      </c>
      <c r="DZ14" s="1">
        <v>49188</v>
      </c>
      <c r="EA14" s="1">
        <v>49218</v>
      </c>
      <c r="EB14" s="1">
        <v>49249</v>
      </c>
      <c r="EC14" s="1">
        <v>49279</v>
      </c>
      <c r="ED14" s="1">
        <v>49310</v>
      </c>
      <c r="EE14" s="1">
        <v>49341</v>
      </c>
      <c r="EF14" s="1">
        <v>49369</v>
      </c>
      <c r="EG14" s="1">
        <v>49400</v>
      </c>
      <c r="EH14" s="1">
        <v>49430</v>
      </c>
      <c r="EI14" s="1">
        <v>49461</v>
      </c>
      <c r="EJ14" s="1">
        <v>49491</v>
      </c>
      <c r="EK14" s="1">
        <v>49522</v>
      </c>
      <c r="EL14" s="1">
        <v>49553</v>
      </c>
      <c r="EM14" s="1">
        <v>49583</v>
      </c>
      <c r="EN14" s="1">
        <v>49614</v>
      </c>
      <c r="EO14" s="1">
        <v>49644</v>
      </c>
      <c r="EP14" s="1">
        <v>49675</v>
      </c>
      <c r="EQ14" s="1">
        <v>49706</v>
      </c>
      <c r="ER14" s="1">
        <v>49735</v>
      </c>
      <c r="ES14" s="1">
        <v>49766</v>
      </c>
      <c r="ET14" s="1">
        <v>49796</v>
      </c>
      <c r="EU14" s="1">
        <v>49827</v>
      </c>
      <c r="EV14" s="1">
        <v>49857</v>
      </c>
      <c r="EW14" s="1">
        <v>49888</v>
      </c>
      <c r="EX14" s="1">
        <v>49919</v>
      </c>
      <c r="EY14" s="1">
        <v>49949</v>
      </c>
      <c r="EZ14" s="1">
        <v>49980</v>
      </c>
      <c r="FA14" s="1">
        <v>50010</v>
      </c>
      <c r="FB14" s="1">
        <v>50041</v>
      </c>
      <c r="FC14" s="1">
        <v>50072</v>
      </c>
      <c r="FD14" s="1">
        <v>50100</v>
      </c>
      <c r="FE14" s="1">
        <v>50131</v>
      </c>
      <c r="FF14" s="1">
        <v>50161</v>
      </c>
      <c r="FG14" s="1">
        <v>50192</v>
      </c>
      <c r="FH14" s="1">
        <v>50222</v>
      </c>
      <c r="FI14" s="1">
        <v>50253</v>
      </c>
      <c r="FJ14" s="1">
        <v>50284</v>
      </c>
      <c r="FK14" s="1">
        <v>50314</v>
      </c>
      <c r="FL14" s="1">
        <v>50345</v>
      </c>
      <c r="FM14" s="1">
        <v>50375</v>
      </c>
      <c r="FN14" s="1">
        <v>50406</v>
      </c>
      <c r="FO14" s="1">
        <v>50437</v>
      </c>
      <c r="FP14" s="1">
        <v>50465</v>
      </c>
      <c r="FQ14" s="1">
        <v>50496</v>
      </c>
      <c r="FR14" s="1">
        <v>50526</v>
      </c>
      <c r="FS14" s="1">
        <v>50557</v>
      </c>
      <c r="FT14" s="1">
        <v>50587</v>
      </c>
      <c r="FU14" s="1">
        <v>50618</v>
      </c>
      <c r="FV14" s="1">
        <v>50649</v>
      </c>
      <c r="FW14" s="1">
        <v>50679</v>
      </c>
      <c r="FX14" s="1">
        <v>50710</v>
      </c>
      <c r="FY14" s="1">
        <v>50740</v>
      </c>
    </row>
    <row r="15" spans="1:181" x14ac:dyDescent="0.3">
      <c r="A15" s="2">
        <v>1</v>
      </c>
      <c r="B15" s="5">
        <v>1.5445</v>
      </c>
      <c r="C15" s="5">
        <v>1.5271999999999999</v>
      </c>
      <c r="D15" s="5">
        <v>1.6604000000000001</v>
      </c>
      <c r="E15" s="5">
        <v>1.6236999999999999</v>
      </c>
      <c r="F15" s="5">
        <v>1.6555</v>
      </c>
      <c r="G15" s="5">
        <v>1.4899</v>
      </c>
      <c r="H15" s="5">
        <v>1.6425000000000001</v>
      </c>
      <c r="I15" s="5">
        <v>1.3091999999999999</v>
      </c>
      <c r="J15" s="5">
        <v>1.2157</v>
      </c>
      <c r="K15" s="5">
        <v>1.5384</v>
      </c>
      <c r="L15" s="5">
        <v>1.5926</v>
      </c>
      <c r="M15" s="5">
        <v>1.5251999999999999</v>
      </c>
      <c r="N15" s="5">
        <v>1.6074999999999999</v>
      </c>
      <c r="O15" s="5">
        <v>1.5898000000000001</v>
      </c>
      <c r="P15" s="5">
        <v>1.7432000000000001</v>
      </c>
      <c r="Q15" s="5">
        <v>1.6788000000000001</v>
      </c>
      <c r="R15" s="5">
        <v>1.6954</v>
      </c>
      <c r="S15" s="5">
        <v>1.5024</v>
      </c>
      <c r="T15" s="5">
        <v>1.6587000000000001</v>
      </c>
      <c r="U15" s="5">
        <v>1.2986</v>
      </c>
      <c r="V15" s="5">
        <v>1.2027000000000001</v>
      </c>
      <c r="W15" s="5">
        <v>1.5523</v>
      </c>
      <c r="X15" s="5">
        <v>1.6180000000000001</v>
      </c>
      <c r="Y15" s="5">
        <v>1.5472999999999999</v>
      </c>
      <c r="Z15" s="5">
        <v>1.6415</v>
      </c>
      <c r="AA15" s="5">
        <v>1.6284000000000001</v>
      </c>
      <c r="AB15" s="5">
        <v>1.7868999999999999</v>
      </c>
      <c r="AC15" s="5">
        <v>1.7154</v>
      </c>
      <c r="AD15" s="5">
        <v>1.7262999999999999</v>
      </c>
      <c r="AE15" s="5">
        <v>1.5257000000000001</v>
      </c>
      <c r="AF15" s="5">
        <v>1.6894</v>
      </c>
      <c r="AG15" s="5">
        <v>1.3210999999999999</v>
      </c>
      <c r="AH15" s="5">
        <v>1.2246999999999999</v>
      </c>
      <c r="AI15" s="5">
        <v>1.5812999999999999</v>
      </c>
      <c r="AJ15" s="5">
        <v>1.6435999999999999</v>
      </c>
      <c r="AK15" s="5">
        <v>1.5702</v>
      </c>
      <c r="AL15" s="5">
        <v>1.6571</v>
      </c>
      <c r="AM15" s="5">
        <v>1.6365000000000001</v>
      </c>
      <c r="AN15" s="5">
        <v>1.7955000000000001</v>
      </c>
      <c r="AO15" s="5">
        <v>1.7270000000000001</v>
      </c>
      <c r="AP15" s="5">
        <v>1.7459</v>
      </c>
      <c r="AQ15" s="5">
        <v>1.5527</v>
      </c>
      <c r="AR15" s="5">
        <v>1.7222</v>
      </c>
      <c r="AS15" s="5">
        <v>1.3560000000000001</v>
      </c>
      <c r="AT15" s="5">
        <v>1.2607999999999999</v>
      </c>
      <c r="AU15" s="5">
        <v>1.6137999999999999</v>
      </c>
      <c r="AV15" s="5">
        <v>1.6638999999999999</v>
      </c>
      <c r="AW15" s="5">
        <v>1.5878000000000001</v>
      </c>
      <c r="AX15" s="5">
        <v>1.6847000000000001</v>
      </c>
      <c r="AY15" s="5">
        <v>1.6497999999999999</v>
      </c>
      <c r="AZ15" s="5">
        <v>1.7918000000000001</v>
      </c>
      <c r="BA15" s="5">
        <v>1.7345999999999999</v>
      </c>
      <c r="BB15" s="5">
        <v>1.762</v>
      </c>
      <c r="BC15" s="5">
        <v>1.5785</v>
      </c>
      <c r="BD15" s="5">
        <v>1.7547999999999999</v>
      </c>
      <c r="BE15" s="5">
        <v>1.3907</v>
      </c>
      <c r="BF15" s="5">
        <v>1.2966</v>
      </c>
      <c r="BG15" s="5">
        <v>1.6447000000000001</v>
      </c>
      <c r="BH15" s="5">
        <v>1.6819</v>
      </c>
      <c r="BI15" s="5">
        <v>1.603</v>
      </c>
      <c r="BJ15" s="5">
        <v>1.6949000000000001</v>
      </c>
      <c r="BK15" s="5">
        <v>1.6433</v>
      </c>
      <c r="BL15" s="5">
        <v>1.8011999999999999</v>
      </c>
      <c r="BM15" s="5">
        <v>1.7411000000000001</v>
      </c>
      <c r="BN15" s="5">
        <v>1.7828999999999999</v>
      </c>
      <c r="BO15" s="5">
        <v>1.6180000000000001</v>
      </c>
      <c r="BP15" s="5">
        <v>1.8068</v>
      </c>
      <c r="BQ15" s="5">
        <v>1.446</v>
      </c>
      <c r="BR15" s="5">
        <v>1.3526</v>
      </c>
      <c r="BS15" s="5">
        <v>1.6921999999999999</v>
      </c>
      <c r="BT15" s="5">
        <v>1.7062999999999999</v>
      </c>
      <c r="BU15" s="5">
        <v>1.6226</v>
      </c>
      <c r="BV15" s="5">
        <v>1.7004999999999999</v>
      </c>
      <c r="BW15" s="5">
        <v>1.6451</v>
      </c>
      <c r="BX15" s="5">
        <v>1.8021</v>
      </c>
      <c r="BY15" s="5">
        <v>1.7450000000000001</v>
      </c>
      <c r="BZ15" s="5">
        <v>1.7931999999999999</v>
      </c>
      <c r="CA15" s="5">
        <v>1.6397999999999999</v>
      </c>
      <c r="CB15" s="5">
        <v>1.8385</v>
      </c>
      <c r="CC15" s="5">
        <v>1.4814000000000001</v>
      </c>
      <c r="CD15" s="5">
        <v>1.3888</v>
      </c>
      <c r="CE15" s="5">
        <v>1.7204999999999999</v>
      </c>
      <c r="CF15" s="5">
        <v>1.7191000000000001</v>
      </c>
      <c r="CG15" s="5">
        <v>1.6327</v>
      </c>
      <c r="CH15" s="5">
        <v>1.7048000000000001</v>
      </c>
      <c r="CI15" s="5">
        <v>1.6456999999999999</v>
      </c>
      <c r="CJ15" s="5">
        <v>1.8012999999999999</v>
      </c>
      <c r="CK15" s="5">
        <v>1.7465999999999999</v>
      </c>
      <c r="CL15" s="5">
        <v>1.8019000000000001</v>
      </c>
      <c r="CM15" s="5">
        <v>1.6616</v>
      </c>
      <c r="CN15" s="5">
        <v>1.8732</v>
      </c>
      <c r="CO15" s="5">
        <v>1.5214000000000001</v>
      </c>
      <c r="CP15" s="5">
        <v>1.4294</v>
      </c>
      <c r="CQ15" s="5">
        <v>1.7504</v>
      </c>
      <c r="CR15" s="5">
        <v>1.6546000000000001</v>
      </c>
      <c r="CS15" s="5">
        <v>1.6413</v>
      </c>
      <c r="CT15" s="5">
        <v>1.7071000000000001</v>
      </c>
      <c r="CU15" s="5">
        <v>1.6560999999999999</v>
      </c>
      <c r="CV15" s="5">
        <v>1.7887999999999999</v>
      </c>
      <c r="CW15" s="5">
        <v>1.7466999999999999</v>
      </c>
      <c r="CX15" s="5">
        <v>1.8078000000000001</v>
      </c>
      <c r="CY15" s="5">
        <v>1.6802999999999999</v>
      </c>
      <c r="CZ15" s="5">
        <v>1.9065000000000001</v>
      </c>
      <c r="DA15" s="5">
        <v>1.5616000000000001</v>
      </c>
      <c r="DB15" s="5">
        <v>1.4697</v>
      </c>
      <c r="DC15" s="5">
        <v>1.7778</v>
      </c>
      <c r="DD15" s="5">
        <v>1.6645000000000001</v>
      </c>
      <c r="DE15" s="5">
        <v>1.6476</v>
      </c>
      <c r="DF15" s="5">
        <v>1.7078</v>
      </c>
      <c r="DG15" s="5">
        <v>1.6427</v>
      </c>
      <c r="DH15" s="5">
        <v>1.7956000000000001</v>
      </c>
      <c r="DI15" s="5">
        <v>1.7455000000000001</v>
      </c>
      <c r="DJ15" s="5">
        <v>1.8110999999999999</v>
      </c>
      <c r="DK15" s="5">
        <v>1.6951000000000001</v>
      </c>
      <c r="DL15" s="5">
        <v>1.9365000000000001</v>
      </c>
      <c r="DM15" s="5">
        <v>1.6003000000000001</v>
      </c>
      <c r="DN15" s="5">
        <v>1.5081</v>
      </c>
      <c r="DO15" s="5">
        <v>1.8012999999999999</v>
      </c>
      <c r="DP15" s="5">
        <v>1.6717</v>
      </c>
      <c r="DQ15" s="5">
        <v>1.6516999999999999</v>
      </c>
      <c r="DR15" s="5">
        <v>1.7071000000000001</v>
      </c>
      <c r="DS15" s="5">
        <v>1.6396999999999999</v>
      </c>
      <c r="DT15" s="5">
        <v>1.7908999999999999</v>
      </c>
      <c r="DU15" s="5">
        <v>1.7431000000000001</v>
      </c>
      <c r="DV15" s="5">
        <v>1.8124</v>
      </c>
      <c r="DW15" s="5">
        <v>1.7071000000000001</v>
      </c>
      <c r="DX15" s="5">
        <v>1.964</v>
      </c>
      <c r="DY15" s="5">
        <v>1.6392</v>
      </c>
      <c r="DZ15" s="5">
        <v>1.5459000000000001</v>
      </c>
      <c r="EA15" s="5">
        <v>1.8219000000000001</v>
      </c>
      <c r="EB15" s="5">
        <v>1.6769000000000001</v>
      </c>
      <c r="EC15" s="5">
        <v>1.6540999999999999</v>
      </c>
      <c r="ED15" s="5">
        <v>1.7050000000000001</v>
      </c>
      <c r="EE15" s="5">
        <v>1.6358999999999999</v>
      </c>
      <c r="EF15" s="5">
        <v>1.7855000000000001</v>
      </c>
      <c r="EG15" s="5">
        <v>1.7398</v>
      </c>
      <c r="EH15" s="5">
        <v>1.8119000000000001</v>
      </c>
      <c r="EI15" s="5">
        <v>1.7161999999999999</v>
      </c>
      <c r="EJ15" s="5">
        <v>1.9872000000000001</v>
      </c>
      <c r="EK15" s="5">
        <v>1.6758999999999999</v>
      </c>
      <c r="EL15" s="5">
        <v>1.5809</v>
      </c>
      <c r="EM15" s="5">
        <v>1.8379000000000001</v>
      </c>
      <c r="EN15" s="5">
        <v>1.6802999999999999</v>
      </c>
      <c r="EO15" s="5">
        <v>1.67</v>
      </c>
      <c r="EP15" s="5">
        <v>1.7013</v>
      </c>
      <c r="EQ15" s="5">
        <v>1.6215999999999999</v>
      </c>
      <c r="ER15" s="5">
        <v>1.7670999999999999</v>
      </c>
      <c r="ES15" s="5">
        <v>1.7351000000000001</v>
      </c>
      <c r="ET15" s="5">
        <v>1.8092999999999999</v>
      </c>
      <c r="EU15" s="5">
        <v>1.7234</v>
      </c>
      <c r="EV15" s="5">
        <v>2.0074000000000001</v>
      </c>
      <c r="EW15" s="5">
        <v>1.7129000000000001</v>
      </c>
      <c r="EX15" s="5">
        <v>1.615</v>
      </c>
      <c r="EY15" s="5">
        <v>1.8509</v>
      </c>
      <c r="EZ15" s="5">
        <v>1.6817</v>
      </c>
      <c r="FA15" s="5">
        <v>1.6684000000000001</v>
      </c>
      <c r="FB15" s="5">
        <v>1.6960999999999999</v>
      </c>
      <c r="FC15" s="5">
        <v>1.625</v>
      </c>
      <c r="FD15" s="5">
        <v>1.7708999999999999</v>
      </c>
      <c r="FE15" s="5">
        <v>1.7293000000000001</v>
      </c>
      <c r="FF15" s="5">
        <v>1.8052999999999999</v>
      </c>
      <c r="FG15" s="5">
        <v>1.7283999999999999</v>
      </c>
      <c r="FH15" s="5">
        <v>2.0226999999999999</v>
      </c>
      <c r="FI15" s="5">
        <v>1.7472000000000001</v>
      </c>
      <c r="FJ15" s="5">
        <v>1.6456999999999999</v>
      </c>
      <c r="FK15" s="5">
        <v>1.8595999999999999</v>
      </c>
      <c r="FL15" s="5">
        <v>1.6813</v>
      </c>
      <c r="FM15" s="5">
        <v>1.6655</v>
      </c>
      <c r="FN15" s="5">
        <v>1.6899</v>
      </c>
      <c r="FO15" s="5">
        <v>1.6186</v>
      </c>
      <c r="FP15" s="5">
        <v>1.7624</v>
      </c>
      <c r="FQ15" s="5">
        <v>1.7228000000000001</v>
      </c>
      <c r="FR15" s="5">
        <v>1.8002</v>
      </c>
      <c r="FS15" s="5">
        <v>1.7317</v>
      </c>
      <c r="FT15" s="5">
        <v>2.0331999999999999</v>
      </c>
      <c r="FU15" s="5">
        <v>1.7775000000000001</v>
      </c>
      <c r="FV15" s="5">
        <v>1.6719999999999999</v>
      </c>
      <c r="FW15" s="5">
        <v>1.8644000000000001</v>
      </c>
      <c r="FX15" s="5">
        <v>1.6796</v>
      </c>
      <c r="FY15" s="5">
        <v>1.6616</v>
      </c>
    </row>
    <row r="16" spans="1:181" x14ac:dyDescent="0.3">
      <c r="A16" s="2">
        <v>2</v>
      </c>
      <c r="B16" s="5">
        <v>1.0593999999999999</v>
      </c>
      <c r="C16" s="5">
        <v>1.0876999999999999</v>
      </c>
      <c r="D16" s="5">
        <v>1.0757000000000001</v>
      </c>
      <c r="E16" s="5">
        <v>1.0766</v>
      </c>
      <c r="F16" s="5">
        <v>1.0366</v>
      </c>
      <c r="G16" s="5">
        <v>1.0079</v>
      </c>
      <c r="H16" s="5">
        <v>0.97819999999999996</v>
      </c>
      <c r="I16" s="5">
        <v>0.98780000000000001</v>
      </c>
      <c r="J16" s="5">
        <v>0.99239999999999995</v>
      </c>
      <c r="K16" s="5">
        <v>0.99439999999999995</v>
      </c>
      <c r="L16" s="5">
        <v>1.0347</v>
      </c>
      <c r="M16" s="5">
        <v>1.0511999999999999</v>
      </c>
      <c r="N16" s="5">
        <v>1.0549999999999999</v>
      </c>
      <c r="O16" s="5">
        <v>1.1009</v>
      </c>
      <c r="P16" s="5">
        <v>1.0734999999999999</v>
      </c>
      <c r="Q16" s="5">
        <v>1.0740000000000001</v>
      </c>
      <c r="R16" s="5">
        <v>1.028</v>
      </c>
      <c r="S16" s="5">
        <v>1.0028999999999999</v>
      </c>
      <c r="T16" s="5">
        <v>0.97599999999999998</v>
      </c>
      <c r="U16" s="5">
        <v>0.98770000000000002</v>
      </c>
      <c r="V16" s="5">
        <v>0.99250000000000005</v>
      </c>
      <c r="W16" s="5">
        <v>0.9929</v>
      </c>
      <c r="X16" s="5">
        <v>1.0331999999999999</v>
      </c>
      <c r="Y16" s="5">
        <v>1.0515000000000001</v>
      </c>
      <c r="Z16" s="5">
        <v>1.0557000000000001</v>
      </c>
      <c r="AA16" s="5">
        <v>1.1069</v>
      </c>
      <c r="AB16" s="5">
        <v>1.0752999999999999</v>
      </c>
      <c r="AC16" s="5">
        <v>1.0748</v>
      </c>
      <c r="AD16" s="5">
        <v>1.0267999999999999</v>
      </c>
      <c r="AE16" s="5">
        <v>1.0028999999999999</v>
      </c>
      <c r="AF16" s="5">
        <v>0.97489999999999999</v>
      </c>
      <c r="AG16" s="5">
        <v>0.98680000000000001</v>
      </c>
      <c r="AH16" s="5">
        <v>0.99180000000000001</v>
      </c>
      <c r="AI16" s="5">
        <v>0.99350000000000005</v>
      </c>
      <c r="AJ16" s="5">
        <v>1.0383</v>
      </c>
      <c r="AK16" s="5">
        <v>1.0583</v>
      </c>
      <c r="AL16" s="5">
        <v>1.0622</v>
      </c>
      <c r="AM16" s="5">
        <v>1.1153999999999999</v>
      </c>
      <c r="AN16" s="5">
        <v>1.0840000000000001</v>
      </c>
      <c r="AO16" s="5">
        <v>1.0834999999999999</v>
      </c>
      <c r="AP16" s="5">
        <v>1.0343</v>
      </c>
      <c r="AQ16" s="5">
        <v>1.0064</v>
      </c>
      <c r="AR16" s="5">
        <v>0.9748</v>
      </c>
      <c r="AS16" s="5">
        <v>0.9859</v>
      </c>
      <c r="AT16" s="5">
        <v>0.99099999999999999</v>
      </c>
      <c r="AU16" s="5">
        <v>0.99590000000000001</v>
      </c>
      <c r="AV16" s="5">
        <v>1.0476000000000001</v>
      </c>
      <c r="AW16" s="5">
        <v>1.0676000000000001</v>
      </c>
      <c r="AX16" s="5">
        <v>1.0699000000000001</v>
      </c>
      <c r="AY16" s="5">
        <v>1.1157999999999999</v>
      </c>
      <c r="AZ16" s="5">
        <v>1.0972999999999999</v>
      </c>
      <c r="BA16" s="5">
        <v>1.0923</v>
      </c>
      <c r="BB16" s="5">
        <v>1.0429999999999999</v>
      </c>
      <c r="BC16" s="5">
        <v>1.0112000000000001</v>
      </c>
      <c r="BD16" s="5">
        <v>0.97509999999999997</v>
      </c>
      <c r="BE16" s="5">
        <v>0.98509999999999998</v>
      </c>
      <c r="BF16" s="5">
        <v>0.99050000000000005</v>
      </c>
      <c r="BG16" s="5">
        <v>0.99880000000000002</v>
      </c>
      <c r="BH16" s="5">
        <v>1.0571999999999999</v>
      </c>
      <c r="BI16" s="5">
        <v>1.077</v>
      </c>
      <c r="BJ16" s="5">
        <v>1.0837000000000001</v>
      </c>
      <c r="BK16" s="5">
        <v>1.1335</v>
      </c>
      <c r="BL16" s="5">
        <v>1.1052</v>
      </c>
      <c r="BM16" s="5">
        <v>1.1063000000000001</v>
      </c>
      <c r="BN16" s="5">
        <v>1.0581</v>
      </c>
      <c r="BO16" s="5">
        <v>1.0210999999999999</v>
      </c>
      <c r="BP16" s="5">
        <v>0.97689999999999999</v>
      </c>
      <c r="BQ16" s="5">
        <v>0.98440000000000005</v>
      </c>
      <c r="BR16" s="5">
        <v>0.99050000000000005</v>
      </c>
      <c r="BS16" s="5">
        <v>1.0049999999999999</v>
      </c>
      <c r="BT16" s="5">
        <v>1.0729</v>
      </c>
      <c r="BU16" s="5">
        <v>1.0926</v>
      </c>
      <c r="BV16" s="5">
        <v>1.0920000000000001</v>
      </c>
      <c r="BW16" s="5">
        <v>1.1402000000000001</v>
      </c>
      <c r="BX16" s="5">
        <v>1.1133</v>
      </c>
      <c r="BY16" s="5">
        <v>1.1149</v>
      </c>
      <c r="BZ16" s="5">
        <v>1.0683</v>
      </c>
      <c r="CA16" s="5">
        <v>1.0289999999999999</v>
      </c>
      <c r="CB16" s="5">
        <v>0.97899999999999998</v>
      </c>
      <c r="CC16" s="5">
        <v>0.98429999999999995</v>
      </c>
      <c r="CD16" s="5">
        <v>0.99109999999999998</v>
      </c>
      <c r="CE16" s="5">
        <v>1.0098</v>
      </c>
      <c r="CF16" s="5">
        <v>1.0831</v>
      </c>
      <c r="CG16" s="5">
        <v>1.1025</v>
      </c>
      <c r="CH16" s="5">
        <v>1.1009</v>
      </c>
      <c r="CI16" s="5">
        <v>1.1468</v>
      </c>
      <c r="CJ16" s="5">
        <v>1.1215999999999999</v>
      </c>
      <c r="CK16" s="5">
        <v>1.1242000000000001</v>
      </c>
      <c r="CL16" s="5">
        <v>1.0798000000000001</v>
      </c>
      <c r="CM16" s="5">
        <v>1.0396000000000001</v>
      </c>
      <c r="CN16" s="5">
        <v>0.98250000000000004</v>
      </c>
      <c r="CO16" s="5">
        <v>0.98480000000000001</v>
      </c>
      <c r="CP16" s="5">
        <v>0.99250000000000005</v>
      </c>
      <c r="CQ16" s="5">
        <v>1.016</v>
      </c>
      <c r="CR16" s="5">
        <v>1.0974999999999999</v>
      </c>
      <c r="CS16" s="5">
        <v>1.113</v>
      </c>
      <c r="CT16" s="5">
        <v>1.1088</v>
      </c>
      <c r="CU16" s="5">
        <v>1.1460999999999999</v>
      </c>
      <c r="CV16" s="5">
        <v>1.1321000000000001</v>
      </c>
      <c r="CW16" s="5">
        <v>1.1326000000000001</v>
      </c>
      <c r="CX16" s="5">
        <v>1.0912999999999999</v>
      </c>
      <c r="CY16" s="5">
        <v>1.0515000000000001</v>
      </c>
      <c r="CZ16" s="5">
        <v>0.98750000000000004</v>
      </c>
      <c r="DA16" s="5">
        <v>0.9859</v>
      </c>
      <c r="DB16" s="5">
        <v>0.99480000000000002</v>
      </c>
      <c r="DC16" s="5">
        <v>1.0233000000000001</v>
      </c>
      <c r="DD16" s="5">
        <v>1.1086</v>
      </c>
      <c r="DE16" s="5">
        <v>1.1234</v>
      </c>
      <c r="DF16" s="5">
        <v>1.1162000000000001</v>
      </c>
      <c r="DG16" s="5">
        <v>1.1565000000000001</v>
      </c>
      <c r="DH16" s="5">
        <v>1.1355</v>
      </c>
      <c r="DI16" s="5">
        <v>1.1403000000000001</v>
      </c>
      <c r="DJ16" s="5">
        <v>1.1020000000000001</v>
      </c>
      <c r="DK16" s="5">
        <v>1.0638000000000001</v>
      </c>
      <c r="DL16" s="5">
        <v>0.99399999999999999</v>
      </c>
      <c r="DM16" s="5">
        <v>0.98780000000000001</v>
      </c>
      <c r="DN16" s="5">
        <v>0.99829999999999997</v>
      </c>
      <c r="DO16" s="5">
        <v>1.0315000000000001</v>
      </c>
      <c r="DP16" s="5">
        <v>1.1193</v>
      </c>
      <c r="DQ16" s="5">
        <v>1.133</v>
      </c>
      <c r="DR16" s="5">
        <v>1.1228</v>
      </c>
      <c r="DS16" s="5">
        <v>1.1606000000000001</v>
      </c>
      <c r="DT16" s="5">
        <v>1.1415999999999999</v>
      </c>
      <c r="DU16" s="5">
        <v>1.1476</v>
      </c>
      <c r="DV16" s="5">
        <v>1.1124000000000001</v>
      </c>
      <c r="DW16" s="5">
        <v>1.077</v>
      </c>
      <c r="DX16" s="5">
        <v>1.0025999999999999</v>
      </c>
      <c r="DY16" s="5">
        <v>0.99099999999999999</v>
      </c>
      <c r="DZ16" s="5">
        <v>1.0036</v>
      </c>
      <c r="EA16" s="5">
        <v>1.0409999999999999</v>
      </c>
      <c r="EB16" s="5">
        <v>1.1293</v>
      </c>
      <c r="EC16" s="5">
        <v>1.1420999999999999</v>
      </c>
      <c r="ED16" s="5">
        <v>1.1287</v>
      </c>
      <c r="EE16" s="5">
        <v>1.1637999999999999</v>
      </c>
      <c r="EF16" s="5">
        <v>1.147</v>
      </c>
      <c r="EG16" s="5">
        <v>1.1540999999999999</v>
      </c>
      <c r="EH16" s="5">
        <v>1.1222000000000001</v>
      </c>
      <c r="EI16" s="5">
        <v>1.0896999999999999</v>
      </c>
      <c r="EJ16" s="5">
        <v>1.0128999999999999</v>
      </c>
      <c r="EK16" s="5">
        <v>0.99570000000000003</v>
      </c>
      <c r="EL16" s="5">
        <v>1.0106999999999999</v>
      </c>
      <c r="EM16" s="5">
        <v>1.0513999999999999</v>
      </c>
      <c r="EN16" s="5">
        <v>1.1388</v>
      </c>
      <c r="EO16" s="5">
        <v>1.1497999999999999</v>
      </c>
      <c r="EP16" s="5">
        <v>1.1342000000000001</v>
      </c>
      <c r="EQ16" s="5">
        <v>1.1631</v>
      </c>
      <c r="ER16" s="5">
        <v>1.1535</v>
      </c>
      <c r="ES16" s="5">
        <v>1.1603000000000001</v>
      </c>
      <c r="ET16" s="5">
        <v>1.1316999999999999</v>
      </c>
      <c r="EU16" s="5">
        <v>1.1246</v>
      </c>
      <c r="EV16" s="5">
        <v>1.0256000000000001</v>
      </c>
      <c r="EW16" s="5">
        <v>1.0026999999999999</v>
      </c>
      <c r="EX16" s="5">
        <v>1.0205</v>
      </c>
      <c r="EY16" s="5">
        <v>1.0629999999999999</v>
      </c>
      <c r="EZ16" s="5">
        <v>1.1483000000000001</v>
      </c>
      <c r="FA16" s="5">
        <v>1.1580999999999999</v>
      </c>
      <c r="FB16" s="5">
        <v>1.1392</v>
      </c>
      <c r="FC16" s="5">
        <v>1.1688000000000001</v>
      </c>
      <c r="FD16" s="5">
        <v>1.1564000000000001</v>
      </c>
      <c r="FE16" s="5">
        <v>1.1658999999999999</v>
      </c>
      <c r="FF16" s="5">
        <v>1.1405000000000001</v>
      </c>
      <c r="FG16" s="5">
        <v>1.1151</v>
      </c>
      <c r="FH16" s="5">
        <v>1.04</v>
      </c>
      <c r="FI16" s="5">
        <v>1.0125</v>
      </c>
      <c r="FJ16" s="5">
        <v>1.0327</v>
      </c>
      <c r="FK16" s="5">
        <v>1.0754999999999999</v>
      </c>
      <c r="FL16" s="5">
        <v>1.157</v>
      </c>
      <c r="FM16" s="5">
        <v>1.1655</v>
      </c>
      <c r="FN16" s="5">
        <v>1.1435</v>
      </c>
      <c r="FO16" s="5">
        <v>1.1704000000000001</v>
      </c>
      <c r="FP16" s="5">
        <v>1.1603000000000001</v>
      </c>
      <c r="FQ16" s="5">
        <v>1.1709000000000001</v>
      </c>
      <c r="FR16" s="5">
        <v>1.1483000000000001</v>
      </c>
      <c r="FS16" s="5">
        <v>1.1269</v>
      </c>
      <c r="FT16" s="5">
        <v>1.0550999999999999</v>
      </c>
      <c r="FU16" s="5">
        <v>1.0250999999999999</v>
      </c>
      <c r="FV16" s="5">
        <v>1.0470999999999999</v>
      </c>
      <c r="FW16" s="5">
        <v>1.0882000000000001</v>
      </c>
      <c r="FX16" s="5">
        <v>1.1648000000000001</v>
      </c>
      <c r="FY16" s="5">
        <v>1.1720999999999999</v>
      </c>
    </row>
    <row r="17" spans="1:181" x14ac:dyDescent="0.3">
      <c r="A17" s="2">
        <v>3</v>
      </c>
      <c r="B17" s="5">
        <v>0.97130000000000005</v>
      </c>
      <c r="C17" s="5">
        <v>0.95840000000000003</v>
      </c>
      <c r="D17" s="5">
        <v>0.97570000000000001</v>
      </c>
      <c r="E17" s="5">
        <v>0.96450000000000002</v>
      </c>
      <c r="F17" s="5">
        <v>0.98260000000000003</v>
      </c>
      <c r="G17" s="5">
        <v>0.98929999999999996</v>
      </c>
      <c r="H17" s="5">
        <v>0.99719999999999998</v>
      </c>
      <c r="I17" s="5">
        <v>0.99929999999999997</v>
      </c>
      <c r="J17" s="5">
        <v>0.99929999999999997</v>
      </c>
      <c r="K17" s="5">
        <v>0.99280000000000002</v>
      </c>
      <c r="L17" s="5">
        <v>0.97440000000000004</v>
      </c>
      <c r="M17" s="5">
        <v>0.97529999999999994</v>
      </c>
      <c r="N17" s="5">
        <v>0.96589999999999998</v>
      </c>
      <c r="O17" s="5">
        <v>0.95609999999999995</v>
      </c>
      <c r="P17" s="5">
        <v>0.96750000000000003</v>
      </c>
      <c r="Q17" s="5">
        <v>0.95899999999999996</v>
      </c>
      <c r="R17" s="5">
        <v>0.97840000000000005</v>
      </c>
      <c r="S17" s="5">
        <v>0.99050000000000005</v>
      </c>
      <c r="T17" s="5">
        <v>0.99770000000000003</v>
      </c>
      <c r="U17" s="5">
        <v>0.99950000000000006</v>
      </c>
      <c r="V17" s="5">
        <v>0.99950000000000006</v>
      </c>
      <c r="W17" s="5">
        <v>0.9929</v>
      </c>
      <c r="X17" s="5">
        <v>0.97350000000000003</v>
      </c>
      <c r="Y17" s="5">
        <v>0.97309999999999997</v>
      </c>
      <c r="Z17" s="5">
        <v>0.96189999999999998</v>
      </c>
      <c r="AA17" s="5">
        <v>0.9536</v>
      </c>
      <c r="AB17" s="5">
        <v>0.96399999999999997</v>
      </c>
      <c r="AC17" s="5">
        <v>0.95689999999999997</v>
      </c>
      <c r="AD17" s="5">
        <v>0.97740000000000005</v>
      </c>
      <c r="AE17" s="5">
        <v>0.99009999999999998</v>
      </c>
      <c r="AF17" s="5">
        <v>0.99750000000000005</v>
      </c>
      <c r="AG17" s="5">
        <v>0.99950000000000006</v>
      </c>
      <c r="AH17" s="5">
        <v>0.99929999999999997</v>
      </c>
      <c r="AI17" s="5">
        <v>0.99199999999999999</v>
      </c>
      <c r="AJ17" s="5">
        <v>0.97050000000000003</v>
      </c>
      <c r="AK17" s="5">
        <v>0.96989999999999998</v>
      </c>
      <c r="AL17" s="5">
        <v>0.95850000000000002</v>
      </c>
      <c r="AM17" s="5">
        <v>0.95299999999999996</v>
      </c>
      <c r="AN17" s="5">
        <v>0.96140000000000003</v>
      </c>
      <c r="AO17" s="5">
        <v>0.95289999999999997</v>
      </c>
      <c r="AP17" s="5">
        <v>0.97389999999999999</v>
      </c>
      <c r="AQ17" s="5">
        <v>0.98839999999999995</v>
      </c>
      <c r="AR17" s="5">
        <v>0.997</v>
      </c>
      <c r="AS17" s="5">
        <v>0.99919999999999998</v>
      </c>
      <c r="AT17" s="5">
        <v>0.999</v>
      </c>
      <c r="AU17" s="5">
        <v>0.99050000000000005</v>
      </c>
      <c r="AV17" s="5">
        <v>0.96630000000000005</v>
      </c>
      <c r="AW17" s="5">
        <v>0.96679999999999999</v>
      </c>
      <c r="AX17" s="5">
        <v>0.95479999999999998</v>
      </c>
      <c r="AY17" s="5">
        <v>0.95030000000000003</v>
      </c>
      <c r="AZ17" s="5">
        <v>0.95799999999999996</v>
      </c>
      <c r="BA17" s="5">
        <v>0.94910000000000005</v>
      </c>
      <c r="BB17" s="5">
        <v>0.97</v>
      </c>
      <c r="BC17" s="5">
        <v>0.98629999999999995</v>
      </c>
      <c r="BD17" s="5">
        <v>0.99639999999999995</v>
      </c>
      <c r="BE17" s="5">
        <v>0.99890000000000001</v>
      </c>
      <c r="BF17" s="5">
        <v>0.99850000000000005</v>
      </c>
      <c r="BG17" s="5">
        <v>0.98880000000000001</v>
      </c>
      <c r="BH17" s="5">
        <v>0.96209999999999996</v>
      </c>
      <c r="BI17" s="5">
        <v>0.96409999999999996</v>
      </c>
      <c r="BJ17" s="5">
        <v>0.94899999999999995</v>
      </c>
      <c r="BK17" s="5">
        <v>0.95430000000000004</v>
      </c>
      <c r="BL17" s="5">
        <v>0.95730000000000004</v>
      </c>
      <c r="BM17" s="5">
        <v>0.94399999999999995</v>
      </c>
      <c r="BN17" s="5">
        <v>0.96399999999999997</v>
      </c>
      <c r="BO17" s="5">
        <v>0.98229999999999995</v>
      </c>
      <c r="BP17" s="5">
        <v>0.995</v>
      </c>
      <c r="BQ17" s="5">
        <v>0.99819999999999998</v>
      </c>
      <c r="BR17" s="5">
        <v>0.99750000000000005</v>
      </c>
      <c r="BS17" s="5">
        <v>0.98570000000000002</v>
      </c>
      <c r="BT17" s="5">
        <v>0.95579999999999998</v>
      </c>
      <c r="BU17" s="5">
        <v>0.96050000000000002</v>
      </c>
      <c r="BV17" s="5">
        <v>0.94589999999999996</v>
      </c>
      <c r="BW17" s="5">
        <v>0.95569999999999999</v>
      </c>
      <c r="BX17" s="5">
        <v>0.95579999999999998</v>
      </c>
      <c r="BY17" s="5">
        <v>0.9405</v>
      </c>
      <c r="BZ17" s="5">
        <v>0.95979999999999999</v>
      </c>
      <c r="CA17" s="5">
        <v>0.97899999999999998</v>
      </c>
      <c r="CB17" s="5">
        <v>0.99380000000000002</v>
      </c>
      <c r="CC17" s="5">
        <v>0.99760000000000004</v>
      </c>
      <c r="CD17" s="5">
        <v>0.99650000000000005</v>
      </c>
      <c r="CE17" s="5">
        <v>0.98350000000000004</v>
      </c>
      <c r="CF17" s="5">
        <v>0.95169999999999999</v>
      </c>
      <c r="CG17" s="5">
        <v>0.95850000000000002</v>
      </c>
      <c r="CH17" s="5">
        <v>0.94269999999999998</v>
      </c>
      <c r="CI17" s="5">
        <v>0.95720000000000005</v>
      </c>
      <c r="CJ17" s="5">
        <v>0.95450000000000002</v>
      </c>
      <c r="CK17" s="5">
        <v>0.93710000000000004</v>
      </c>
      <c r="CL17" s="5">
        <v>0.95530000000000004</v>
      </c>
      <c r="CM17" s="5">
        <v>0.97489999999999999</v>
      </c>
      <c r="CN17" s="5">
        <v>0.99199999999999999</v>
      </c>
      <c r="CO17" s="5">
        <v>0.99670000000000003</v>
      </c>
      <c r="CP17" s="5">
        <v>0.99519999999999997</v>
      </c>
      <c r="CQ17" s="5">
        <v>0.98089999999999999</v>
      </c>
      <c r="CR17" s="5">
        <v>0.94789999999999996</v>
      </c>
      <c r="CS17" s="5">
        <v>0.95689999999999997</v>
      </c>
      <c r="CT17" s="5">
        <v>0.9405</v>
      </c>
      <c r="CU17" s="5">
        <v>0.94779999999999998</v>
      </c>
      <c r="CV17" s="5">
        <v>0.95409999999999995</v>
      </c>
      <c r="CW17" s="5">
        <v>0.93420000000000003</v>
      </c>
      <c r="CX17" s="5">
        <v>0.95130000000000003</v>
      </c>
      <c r="CY17" s="5">
        <v>0.97030000000000005</v>
      </c>
      <c r="CZ17" s="5">
        <v>0.98960000000000004</v>
      </c>
      <c r="DA17" s="5">
        <v>0.99550000000000005</v>
      </c>
      <c r="DB17" s="5">
        <v>0.99350000000000005</v>
      </c>
      <c r="DC17" s="5">
        <v>0.97809999999999997</v>
      </c>
      <c r="DD17" s="5">
        <v>0.94450000000000001</v>
      </c>
      <c r="DE17" s="5">
        <v>0.95589999999999997</v>
      </c>
      <c r="DF17" s="5">
        <v>0.93879999999999997</v>
      </c>
      <c r="DG17" s="5">
        <v>0.95830000000000004</v>
      </c>
      <c r="DH17" s="5">
        <v>0.95379999999999998</v>
      </c>
      <c r="DI17" s="5">
        <v>0.93189999999999995</v>
      </c>
      <c r="DJ17" s="5">
        <v>0.9476</v>
      </c>
      <c r="DK17" s="5">
        <v>0.9657</v>
      </c>
      <c r="DL17" s="5">
        <v>0.98670000000000002</v>
      </c>
      <c r="DM17" s="5">
        <v>0.99399999999999999</v>
      </c>
      <c r="DN17" s="5">
        <v>0.99129999999999996</v>
      </c>
      <c r="DO17" s="5">
        <v>0.97499999999999998</v>
      </c>
      <c r="DP17" s="5">
        <v>0.94140000000000001</v>
      </c>
      <c r="DQ17" s="5">
        <v>0.95520000000000005</v>
      </c>
      <c r="DR17" s="5">
        <v>0.93759999999999999</v>
      </c>
      <c r="DS17" s="5">
        <v>0.95889999999999997</v>
      </c>
      <c r="DT17" s="5">
        <v>0.95379999999999998</v>
      </c>
      <c r="DU17" s="5">
        <v>0.92969999999999997</v>
      </c>
      <c r="DV17" s="5">
        <v>0.94410000000000005</v>
      </c>
      <c r="DW17" s="5">
        <v>0.96109999999999995</v>
      </c>
      <c r="DX17" s="5">
        <v>0.98280000000000001</v>
      </c>
      <c r="DY17" s="5">
        <v>0.99180000000000001</v>
      </c>
      <c r="DZ17" s="5">
        <v>0.98839999999999995</v>
      </c>
      <c r="EA17" s="5">
        <v>0.9718</v>
      </c>
      <c r="EB17" s="5">
        <v>0.93920000000000003</v>
      </c>
      <c r="EC17" s="5">
        <v>0.95499999999999996</v>
      </c>
      <c r="ED17" s="5">
        <v>0.93669999999999998</v>
      </c>
      <c r="EE17" s="5">
        <v>0.95960000000000001</v>
      </c>
      <c r="EF17" s="5">
        <v>0.95379999999999998</v>
      </c>
      <c r="EG17" s="5">
        <v>0.92769999999999997</v>
      </c>
      <c r="EH17" s="5">
        <v>0.94110000000000005</v>
      </c>
      <c r="EI17" s="5">
        <v>0.95689999999999997</v>
      </c>
      <c r="EJ17" s="5">
        <v>0.97840000000000005</v>
      </c>
      <c r="EK17" s="5">
        <v>0.98909999999999998</v>
      </c>
      <c r="EL17" s="5">
        <v>0.98480000000000001</v>
      </c>
      <c r="EM17" s="5">
        <v>0.96860000000000002</v>
      </c>
      <c r="EN17" s="5">
        <v>0.93740000000000001</v>
      </c>
      <c r="EO17" s="5">
        <v>0.95509999999999995</v>
      </c>
      <c r="EP17" s="5">
        <v>0.9365</v>
      </c>
      <c r="EQ17" s="5">
        <v>0.94389999999999996</v>
      </c>
      <c r="ER17" s="5">
        <v>0.95599999999999996</v>
      </c>
      <c r="ES17" s="5">
        <v>0.92610000000000003</v>
      </c>
      <c r="ET17" s="5">
        <v>0.93840000000000001</v>
      </c>
      <c r="EU17" s="5">
        <v>1.0121</v>
      </c>
      <c r="EV17" s="5">
        <v>0.97299999999999998</v>
      </c>
      <c r="EW17" s="5">
        <v>0.98529999999999995</v>
      </c>
      <c r="EX17" s="5">
        <v>0.98019999999999996</v>
      </c>
      <c r="EY17" s="5">
        <v>0.96530000000000005</v>
      </c>
      <c r="EZ17" s="5">
        <v>0.93610000000000004</v>
      </c>
      <c r="FA17" s="5">
        <v>0.9556</v>
      </c>
      <c r="FB17" s="5">
        <v>0.93620000000000003</v>
      </c>
      <c r="FC17" s="5">
        <v>0.96040000000000003</v>
      </c>
      <c r="FD17" s="5">
        <v>0.95479999999999998</v>
      </c>
      <c r="FE17" s="5">
        <v>0.92500000000000004</v>
      </c>
      <c r="FF17" s="5">
        <v>0.93610000000000004</v>
      </c>
      <c r="FG17" s="5">
        <v>0.94930000000000003</v>
      </c>
      <c r="FH17" s="5">
        <v>0.96719999999999995</v>
      </c>
      <c r="FI17" s="5">
        <v>0.98029999999999995</v>
      </c>
      <c r="FJ17" s="5">
        <v>0.97470000000000001</v>
      </c>
      <c r="FK17" s="5">
        <v>0.96209999999999996</v>
      </c>
      <c r="FL17" s="5">
        <v>0.93520000000000003</v>
      </c>
      <c r="FM17" s="5">
        <v>0.95640000000000003</v>
      </c>
      <c r="FN17" s="5">
        <v>0.93630000000000002</v>
      </c>
      <c r="FO17" s="5">
        <v>0.96079999999999999</v>
      </c>
      <c r="FP17" s="5">
        <v>0.95540000000000003</v>
      </c>
      <c r="FQ17" s="5">
        <v>0.92400000000000004</v>
      </c>
      <c r="FR17" s="5">
        <v>0.93440000000000001</v>
      </c>
      <c r="FS17" s="5">
        <v>0.94630000000000003</v>
      </c>
      <c r="FT17" s="5">
        <v>0.96130000000000004</v>
      </c>
      <c r="FU17" s="5">
        <v>0.97430000000000005</v>
      </c>
      <c r="FV17" s="5">
        <v>0.96860000000000002</v>
      </c>
      <c r="FW17" s="5">
        <v>0.95930000000000004</v>
      </c>
      <c r="FX17" s="5">
        <v>0.93459999999999999</v>
      </c>
      <c r="FY17" s="5">
        <v>0.95730000000000004</v>
      </c>
    </row>
    <row r="18" spans="1:181" x14ac:dyDescent="0.3">
      <c r="A18" s="2">
        <v>4</v>
      </c>
      <c r="B18" s="5">
        <v>0.89849999999999997</v>
      </c>
      <c r="C18" s="5">
        <v>0.84730000000000005</v>
      </c>
      <c r="D18" s="5">
        <v>0.87260000000000004</v>
      </c>
      <c r="E18" s="5">
        <v>0.89239999999999997</v>
      </c>
      <c r="F18" s="5">
        <v>0.94689999999999996</v>
      </c>
      <c r="G18" s="5">
        <v>0.97840000000000005</v>
      </c>
      <c r="H18" s="5">
        <v>0.99539999999999995</v>
      </c>
      <c r="I18" s="5">
        <v>0.99919999999999998</v>
      </c>
      <c r="J18" s="5">
        <v>0.99919999999999998</v>
      </c>
      <c r="K18" s="5">
        <v>0.98870000000000002</v>
      </c>
      <c r="L18" s="5">
        <v>0.95299999999999996</v>
      </c>
      <c r="M18" s="5">
        <v>0.93979999999999997</v>
      </c>
      <c r="N18" s="5">
        <v>0.91620000000000001</v>
      </c>
      <c r="O18" s="5">
        <v>0.86009999999999998</v>
      </c>
      <c r="P18" s="5">
        <v>0.88670000000000004</v>
      </c>
      <c r="Q18" s="5">
        <v>0.90280000000000005</v>
      </c>
      <c r="R18" s="5">
        <v>0.95369999999999999</v>
      </c>
      <c r="S18" s="5">
        <v>0.98299999999999998</v>
      </c>
      <c r="T18" s="5">
        <v>0.99660000000000004</v>
      </c>
      <c r="U18" s="5">
        <v>0.99950000000000006</v>
      </c>
      <c r="V18" s="5">
        <v>0.99939999999999996</v>
      </c>
      <c r="W18" s="5">
        <v>0.99009999999999998</v>
      </c>
      <c r="X18" s="5">
        <v>0.9556</v>
      </c>
      <c r="Y18" s="5">
        <v>0.9415</v>
      </c>
      <c r="Z18" s="5">
        <v>0.92</v>
      </c>
      <c r="AA18" s="5">
        <v>0.86409999999999998</v>
      </c>
      <c r="AB18" s="5">
        <v>0.88900000000000001</v>
      </c>
      <c r="AC18" s="5">
        <v>0.90500000000000003</v>
      </c>
      <c r="AD18" s="5">
        <v>0.95430000000000004</v>
      </c>
      <c r="AE18" s="5">
        <v>0.98250000000000004</v>
      </c>
      <c r="AF18" s="5">
        <v>0.99629999999999996</v>
      </c>
      <c r="AG18" s="5">
        <v>0.99939999999999996</v>
      </c>
      <c r="AH18" s="5">
        <v>0.99929999999999997</v>
      </c>
      <c r="AI18" s="5">
        <v>0.9889</v>
      </c>
      <c r="AJ18" s="5">
        <v>0.95079999999999998</v>
      </c>
      <c r="AK18" s="5">
        <v>0.93530000000000002</v>
      </c>
      <c r="AL18" s="5">
        <v>0.91139999999999999</v>
      </c>
      <c r="AM18" s="5">
        <v>0.85160000000000002</v>
      </c>
      <c r="AN18" s="5">
        <v>0.87729999999999997</v>
      </c>
      <c r="AO18" s="5">
        <v>0.89459999999999995</v>
      </c>
      <c r="AP18" s="5">
        <v>0.94679999999999997</v>
      </c>
      <c r="AQ18" s="5">
        <v>0.9788</v>
      </c>
      <c r="AR18" s="5">
        <v>0.99550000000000005</v>
      </c>
      <c r="AS18" s="5">
        <v>0.99909999999999999</v>
      </c>
      <c r="AT18" s="5">
        <v>0.99890000000000001</v>
      </c>
      <c r="AU18" s="5">
        <v>0.98609999999999998</v>
      </c>
      <c r="AV18" s="5">
        <v>0.94120000000000004</v>
      </c>
      <c r="AW18" s="5">
        <v>0.92500000000000004</v>
      </c>
      <c r="AX18" s="5">
        <v>0.89890000000000003</v>
      </c>
      <c r="AY18" s="5">
        <v>0.84379999999999999</v>
      </c>
      <c r="AZ18" s="5">
        <v>0.85919999999999996</v>
      </c>
      <c r="BA18" s="5">
        <v>0.88270000000000004</v>
      </c>
      <c r="BB18" s="5">
        <v>0.93779999999999997</v>
      </c>
      <c r="BC18" s="5">
        <v>0.97419999999999995</v>
      </c>
      <c r="BD18" s="5">
        <v>0.99429999999999996</v>
      </c>
      <c r="BE18" s="5">
        <v>0.99870000000000003</v>
      </c>
      <c r="BF18" s="5">
        <v>0.99829999999999997</v>
      </c>
      <c r="BG18" s="5">
        <v>0.98260000000000003</v>
      </c>
      <c r="BH18" s="5">
        <v>0.93079999999999996</v>
      </c>
      <c r="BI18" s="5">
        <v>0.91379999999999995</v>
      </c>
      <c r="BJ18" s="5">
        <v>0.87739999999999996</v>
      </c>
      <c r="BK18" s="5">
        <v>0.81569999999999998</v>
      </c>
      <c r="BL18" s="5">
        <v>0.84240000000000004</v>
      </c>
      <c r="BM18" s="5">
        <v>0.86219999999999997</v>
      </c>
      <c r="BN18" s="5">
        <v>0.9214</v>
      </c>
      <c r="BO18" s="5">
        <v>0.9647</v>
      </c>
      <c r="BP18" s="5">
        <v>0.99150000000000005</v>
      </c>
      <c r="BQ18" s="5">
        <v>0.99770000000000003</v>
      </c>
      <c r="BR18" s="5">
        <v>0.99690000000000001</v>
      </c>
      <c r="BS18" s="5">
        <v>0.97540000000000004</v>
      </c>
      <c r="BT18" s="5">
        <v>0.91200000000000003</v>
      </c>
      <c r="BU18" s="5">
        <v>0.89400000000000002</v>
      </c>
      <c r="BV18" s="5">
        <v>0.86370000000000002</v>
      </c>
      <c r="BW18" s="5">
        <v>0.80230000000000001</v>
      </c>
      <c r="BX18" s="5">
        <v>0.82879999999999998</v>
      </c>
      <c r="BY18" s="5">
        <v>0.84919999999999995</v>
      </c>
      <c r="BZ18" s="5">
        <v>0.91010000000000002</v>
      </c>
      <c r="CA18" s="5">
        <v>0.95740000000000003</v>
      </c>
      <c r="CB18" s="5">
        <v>0.98919999999999997</v>
      </c>
      <c r="CC18" s="5">
        <v>0.99690000000000001</v>
      </c>
      <c r="CD18" s="5">
        <v>0.99570000000000003</v>
      </c>
      <c r="CE18" s="5">
        <v>0.97</v>
      </c>
      <c r="CF18" s="5">
        <v>0.89929999999999999</v>
      </c>
      <c r="CG18" s="5">
        <v>0.88080000000000003</v>
      </c>
      <c r="CH18" s="5">
        <v>0.84789999999999999</v>
      </c>
      <c r="CI18" s="5">
        <v>0.78739999999999999</v>
      </c>
      <c r="CJ18" s="5">
        <v>0.8135</v>
      </c>
      <c r="CK18" s="5">
        <v>0.83399999999999996</v>
      </c>
      <c r="CL18" s="5">
        <v>0.89639999999999997</v>
      </c>
      <c r="CM18" s="5">
        <v>0.94750000000000001</v>
      </c>
      <c r="CN18" s="5">
        <v>0.98570000000000002</v>
      </c>
      <c r="CO18" s="5">
        <v>0.99560000000000004</v>
      </c>
      <c r="CP18" s="5">
        <v>0.99390000000000001</v>
      </c>
      <c r="CQ18" s="5">
        <v>0.9627</v>
      </c>
      <c r="CR18" s="5">
        <v>0.88390000000000002</v>
      </c>
      <c r="CS18" s="5">
        <v>0.86499999999999999</v>
      </c>
      <c r="CT18" s="5">
        <v>0.83199999999999996</v>
      </c>
      <c r="CU18" s="5">
        <v>0.77739999999999998</v>
      </c>
      <c r="CV18" s="5">
        <v>0.79310000000000003</v>
      </c>
      <c r="CW18" s="5">
        <v>0.81859999999999999</v>
      </c>
      <c r="CX18" s="5">
        <v>0.8821</v>
      </c>
      <c r="CY18" s="5">
        <v>0.93589999999999995</v>
      </c>
      <c r="CZ18" s="5">
        <v>0.98119999999999996</v>
      </c>
      <c r="DA18" s="5">
        <v>0.99399999999999999</v>
      </c>
      <c r="DB18" s="5">
        <v>0.99139999999999995</v>
      </c>
      <c r="DC18" s="5">
        <v>0.95389999999999997</v>
      </c>
      <c r="DD18" s="5">
        <v>0.86770000000000003</v>
      </c>
      <c r="DE18" s="5">
        <v>0.84860000000000002</v>
      </c>
      <c r="DF18" s="5">
        <v>0.81669999999999998</v>
      </c>
      <c r="DG18" s="5">
        <v>0.75900000000000001</v>
      </c>
      <c r="DH18" s="5">
        <v>0.78390000000000004</v>
      </c>
      <c r="DI18" s="5">
        <v>0.80369999999999997</v>
      </c>
      <c r="DJ18" s="5">
        <v>0.86780000000000002</v>
      </c>
      <c r="DK18" s="5">
        <v>0.92300000000000004</v>
      </c>
      <c r="DL18" s="5">
        <v>0.97540000000000004</v>
      </c>
      <c r="DM18" s="5">
        <v>0.99180000000000001</v>
      </c>
      <c r="DN18" s="5">
        <v>0.98799999999999999</v>
      </c>
      <c r="DO18" s="5">
        <v>0.94399999999999995</v>
      </c>
      <c r="DP18" s="5">
        <v>0.85140000000000005</v>
      </c>
      <c r="DQ18" s="5">
        <v>0.83260000000000001</v>
      </c>
      <c r="DR18" s="5">
        <v>0.80130000000000001</v>
      </c>
      <c r="DS18" s="5">
        <v>0.74560000000000004</v>
      </c>
      <c r="DT18" s="5">
        <v>0.76959999999999995</v>
      </c>
      <c r="DU18" s="5">
        <v>0.78859999999999997</v>
      </c>
      <c r="DV18" s="5">
        <v>0.85299999999999998</v>
      </c>
      <c r="DW18" s="5">
        <v>0.90839999999999999</v>
      </c>
      <c r="DX18" s="5">
        <v>0.96789999999999998</v>
      </c>
      <c r="DY18" s="5">
        <v>0.98870000000000002</v>
      </c>
      <c r="DZ18" s="5">
        <v>0.98340000000000005</v>
      </c>
      <c r="EA18" s="5">
        <v>0.93210000000000004</v>
      </c>
      <c r="EB18" s="5">
        <v>0.83420000000000005</v>
      </c>
      <c r="EC18" s="5">
        <v>0.81620000000000004</v>
      </c>
      <c r="ED18" s="5">
        <v>0.78669999999999995</v>
      </c>
      <c r="EE18" s="5">
        <v>0.73309999999999997</v>
      </c>
      <c r="EF18" s="5">
        <v>0.75619999999999998</v>
      </c>
      <c r="EG18" s="5">
        <v>0.77400000000000002</v>
      </c>
      <c r="EH18" s="5">
        <v>0.83850000000000002</v>
      </c>
      <c r="EI18" s="5">
        <v>0.8931</v>
      </c>
      <c r="EJ18" s="5">
        <v>0.9587</v>
      </c>
      <c r="EK18" s="5">
        <v>0.98470000000000002</v>
      </c>
      <c r="EL18" s="5">
        <v>0.97729999999999995</v>
      </c>
      <c r="EM18" s="5">
        <v>0.91879999999999995</v>
      </c>
      <c r="EN18" s="5">
        <v>0.81730000000000003</v>
      </c>
      <c r="EO18" s="5">
        <v>0.80049999999999999</v>
      </c>
      <c r="EP18" s="5">
        <v>0.77200000000000002</v>
      </c>
      <c r="EQ18" s="5">
        <v>0.7218</v>
      </c>
      <c r="ER18" s="5">
        <v>0.73860000000000003</v>
      </c>
      <c r="ES18" s="5">
        <v>0.75890000000000002</v>
      </c>
      <c r="ET18" s="5">
        <v>0.82350000000000001</v>
      </c>
      <c r="EU18" s="5">
        <v>0.88590000000000002</v>
      </c>
      <c r="EV18" s="5">
        <v>0.94679999999999997</v>
      </c>
      <c r="EW18" s="5">
        <v>0.97899999999999998</v>
      </c>
      <c r="EX18" s="5">
        <v>0.96899999999999997</v>
      </c>
      <c r="EY18" s="5">
        <v>0.90300000000000002</v>
      </c>
      <c r="EZ18" s="5">
        <v>0.79930000000000001</v>
      </c>
      <c r="FA18" s="5">
        <v>0.78449999999999998</v>
      </c>
      <c r="FB18" s="5">
        <v>0.75760000000000005</v>
      </c>
      <c r="FC18" s="5">
        <v>0.70909999999999995</v>
      </c>
      <c r="FD18" s="5">
        <v>0.72960000000000003</v>
      </c>
      <c r="FE18" s="5">
        <v>0.74399999999999999</v>
      </c>
      <c r="FF18" s="5">
        <v>0.80830000000000002</v>
      </c>
      <c r="FG18" s="5">
        <v>0.85809999999999997</v>
      </c>
      <c r="FH18" s="5">
        <v>0.9325</v>
      </c>
      <c r="FI18" s="5">
        <v>0.97119999999999995</v>
      </c>
      <c r="FJ18" s="5">
        <v>0.95820000000000005</v>
      </c>
      <c r="FK18" s="5">
        <v>0.88539999999999996</v>
      </c>
      <c r="FL18" s="5">
        <v>0.78100000000000003</v>
      </c>
      <c r="FM18" s="5">
        <v>0.76870000000000005</v>
      </c>
      <c r="FN18" s="5">
        <v>0.74409999999999998</v>
      </c>
      <c r="FO18" s="5">
        <v>0.69899999999999995</v>
      </c>
      <c r="FP18" s="5">
        <v>0.71740000000000004</v>
      </c>
      <c r="FQ18" s="5">
        <v>0.72960000000000003</v>
      </c>
      <c r="FR18" s="5">
        <v>0.79349999999999998</v>
      </c>
      <c r="FS18" s="5">
        <v>0.83989999999999998</v>
      </c>
      <c r="FT18" s="5">
        <v>0.9163</v>
      </c>
      <c r="FU18" s="5">
        <v>0.96099999999999997</v>
      </c>
      <c r="FV18" s="5">
        <v>0.94499999999999995</v>
      </c>
      <c r="FW18" s="5">
        <v>0.86639999999999995</v>
      </c>
      <c r="FX18" s="5">
        <v>0.76319999999999999</v>
      </c>
      <c r="FY18" s="5">
        <v>0.75380000000000003</v>
      </c>
    </row>
    <row r="20" spans="1:181" x14ac:dyDescent="0.3">
      <c r="A20" s="4">
        <v>4</v>
      </c>
      <c r="B20" s="1">
        <v>45292</v>
      </c>
      <c r="C20" s="1">
        <v>45323</v>
      </c>
      <c r="D20" s="1">
        <v>45352</v>
      </c>
      <c r="E20" s="1">
        <v>45383</v>
      </c>
      <c r="F20" s="1">
        <v>45413</v>
      </c>
      <c r="G20" s="1">
        <v>45444</v>
      </c>
      <c r="H20" s="1">
        <v>45474</v>
      </c>
      <c r="I20" s="1">
        <v>45505</v>
      </c>
      <c r="J20" s="1">
        <v>45536</v>
      </c>
      <c r="K20" s="1">
        <v>45566</v>
      </c>
      <c r="L20" s="1">
        <v>45597</v>
      </c>
      <c r="M20" s="1">
        <v>45627</v>
      </c>
      <c r="N20" s="1">
        <v>45658</v>
      </c>
      <c r="O20" s="1">
        <v>45689</v>
      </c>
      <c r="P20" s="1">
        <v>45717</v>
      </c>
      <c r="Q20" s="1">
        <v>45748</v>
      </c>
      <c r="R20" s="1">
        <v>45778</v>
      </c>
      <c r="S20" s="1">
        <v>45809</v>
      </c>
      <c r="T20" s="1">
        <v>45839</v>
      </c>
      <c r="U20" s="1">
        <v>45870</v>
      </c>
      <c r="V20" s="1">
        <v>45901</v>
      </c>
      <c r="W20" s="1">
        <v>45931</v>
      </c>
      <c r="X20" s="1">
        <v>45962</v>
      </c>
      <c r="Y20" s="1">
        <v>45992</v>
      </c>
      <c r="Z20" s="1">
        <v>46023</v>
      </c>
      <c r="AA20" s="1">
        <v>46054</v>
      </c>
      <c r="AB20" s="1">
        <v>46082</v>
      </c>
      <c r="AC20" s="1">
        <v>46113</v>
      </c>
      <c r="AD20" s="1">
        <v>46143</v>
      </c>
      <c r="AE20" s="1">
        <v>46174</v>
      </c>
      <c r="AF20" s="1">
        <v>46204</v>
      </c>
      <c r="AG20" s="1">
        <v>46235</v>
      </c>
      <c r="AH20" s="1">
        <v>46266</v>
      </c>
      <c r="AI20" s="1">
        <v>46296</v>
      </c>
      <c r="AJ20" s="1">
        <v>46327</v>
      </c>
      <c r="AK20" s="1">
        <v>46357</v>
      </c>
      <c r="AL20" s="1">
        <v>46388</v>
      </c>
      <c r="AM20" s="1">
        <v>46419</v>
      </c>
      <c r="AN20" s="1">
        <v>46447</v>
      </c>
      <c r="AO20" s="1">
        <v>46478</v>
      </c>
      <c r="AP20" s="1">
        <v>46508</v>
      </c>
      <c r="AQ20" s="1">
        <v>46539</v>
      </c>
      <c r="AR20" s="1">
        <v>46569</v>
      </c>
      <c r="AS20" s="1">
        <v>46600</v>
      </c>
      <c r="AT20" s="1">
        <v>46631</v>
      </c>
      <c r="AU20" s="1">
        <v>46661</v>
      </c>
      <c r="AV20" s="1">
        <v>46692</v>
      </c>
      <c r="AW20" s="1">
        <v>46722</v>
      </c>
      <c r="AX20" s="1">
        <v>46753</v>
      </c>
      <c r="AY20" s="1">
        <v>46784</v>
      </c>
      <c r="AZ20" s="1">
        <v>46813</v>
      </c>
      <c r="BA20" s="1">
        <v>46844</v>
      </c>
      <c r="BB20" s="1">
        <v>46874</v>
      </c>
      <c r="BC20" s="1">
        <v>46905</v>
      </c>
      <c r="BD20" s="1">
        <v>46935</v>
      </c>
      <c r="BE20" s="1">
        <v>46966</v>
      </c>
      <c r="BF20" s="1">
        <v>46997</v>
      </c>
      <c r="BG20" s="1">
        <v>47027</v>
      </c>
      <c r="BH20" s="1">
        <v>47058</v>
      </c>
      <c r="BI20" s="1">
        <v>47088</v>
      </c>
      <c r="BJ20" s="1">
        <v>47119</v>
      </c>
      <c r="BK20" s="1">
        <v>47150</v>
      </c>
      <c r="BL20" s="1">
        <v>47178</v>
      </c>
      <c r="BM20" s="1">
        <v>47209</v>
      </c>
      <c r="BN20" s="1">
        <v>47239</v>
      </c>
      <c r="BO20" s="1">
        <v>47270</v>
      </c>
      <c r="BP20" s="1">
        <v>47300</v>
      </c>
      <c r="BQ20" s="1">
        <v>47331</v>
      </c>
      <c r="BR20" s="1">
        <v>47362</v>
      </c>
      <c r="BS20" s="1">
        <v>47392</v>
      </c>
      <c r="BT20" s="1">
        <v>47423</v>
      </c>
      <c r="BU20" s="1">
        <v>47453</v>
      </c>
      <c r="BV20" s="1">
        <v>47484</v>
      </c>
      <c r="BW20" s="1">
        <v>47515</v>
      </c>
      <c r="BX20" s="1">
        <v>47543</v>
      </c>
      <c r="BY20" s="1">
        <v>47574</v>
      </c>
      <c r="BZ20" s="1">
        <v>47604</v>
      </c>
      <c r="CA20" s="1">
        <v>47635</v>
      </c>
      <c r="CB20" s="1">
        <v>47665</v>
      </c>
      <c r="CC20" s="1">
        <v>47696</v>
      </c>
      <c r="CD20" s="1">
        <v>47727</v>
      </c>
      <c r="CE20" s="1">
        <v>47757</v>
      </c>
      <c r="CF20" s="1">
        <v>47788</v>
      </c>
      <c r="CG20" s="1">
        <v>47818</v>
      </c>
      <c r="CH20" s="1">
        <v>47849</v>
      </c>
      <c r="CI20" s="1">
        <v>47880</v>
      </c>
      <c r="CJ20" s="1">
        <v>47908</v>
      </c>
      <c r="CK20" s="1">
        <v>47939</v>
      </c>
      <c r="CL20" s="1">
        <v>47969</v>
      </c>
      <c r="CM20" s="1">
        <v>48000</v>
      </c>
      <c r="CN20" s="1">
        <v>48030</v>
      </c>
      <c r="CO20" s="1">
        <v>48061</v>
      </c>
      <c r="CP20" s="1">
        <v>48092</v>
      </c>
      <c r="CQ20" s="1">
        <v>48122</v>
      </c>
      <c r="CR20" s="1">
        <v>48153</v>
      </c>
      <c r="CS20" s="1">
        <v>48183</v>
      </c>
      <c r="CT20" s="1">
        <v>48214</v>
      </c>
      <c r="CU20" s="1">
        <v>48245</v>
      </c>
      <c r="CV20" s="1">
        <v>48274</v>
      </c>
      <c r="CW20" s="1">
        <v>48305</v>
      </c>
      <c r="CX20" s="1">
        <v>48335</v>
      </c>
      <c r="CY20" s="1">
        <v>48366</v>
      </c>
      <c r="CZ20" s="1">
        <v>48396</v>
      </c>
      <c r="DA20" s="1">
        <v>48427</v>
      </c>
      <c r="DB20" s="1">
        <v>48458</v>
      </c>
      <c r="DC20" s="1">
        <v>48488</v>
      </c>
      <c r="DD20" s="1">
        <v>48519</v>
      </c>
      <c r="DE20" s="1">
        <v>48549</v>
      </c>
      <c r="DF20" s="1">
        <v>48580</v>
      </c>
      <c r="DG20" s="1">
        <v>48611</v>
      </c>
      <c r="DH20" s="1">
        <v>48639</v>
      </c>
      <c r="DI20" s="1">
        <v>48670</v>
      </c>
      <c r="DJ20" s="1">
        <v>48700</v>
      </c>
      <c r="DK20" s="1">
        <v>48731</v>
      </c>
      <c r="DL20" s="1">
        <v>48761</v>
      </c>
      <c r="DM20" s="1">
        <v>48792</v>
      </c>
      <c r="DN20" s="1">
        <v>48823</v>
      </c>
      <c r="DO20" s="1">
        <v>48853</v>
      </c>
      <c r="DP20" s="1">
        <v>48884</v>
      </c>
      <c r="DQ20" s="1">
        <v>48914</v>
      </c>
      <c r="DR20" s="1">
        <v>48945</v>
      </c>
      <c r="DS20" s="1">
        <v>48976</v>
      </c>
      <c r="DT20" s="1">
        <v>49004</v>
      </c>
      <c r="DU20" s="1">
        <v>49035</v>
      </c>
      <c r="DV20" s="1">
        <v>49065</v>
      </c>
      <c r="DW20" s="1">
        <v>49096</v>
      </c>
      <c r="DX20" s="1">
        <v>49126</v>
      </c>
      <c r="DY20" s="1">
        <v>49157</v>
      </c>
      <c r="DZ20" s="1">
        <v>49188</v>
      </c>
      <c r="EA20" s="1">
        <v>49218</v>
      </c>
      <c r="EB20" s="1">
        <v>49249</v>
      </c>
      <c r="EC20" s="1">
        <v>49279</v>
      </c>
      <c r="ED20" s="1">
        <v>49310</v>
      </c>
      <c r="EE20" s="1">
        <v>49341</v>
      </c>
      <c r="EF20" s="1">
        <v>49369</v>
      </c>
      <c r="EG20" s="1">
        <v>49400</v>
      </c>
      <c r="EH20" s="1">
        <v>49430</v>
      </c>
      <c r="EI20" s="1">
        <v>49461</v>
      </c>
      <c r="EJ20" s="1">
        <v>49491</v>
      </c>
      <c r="EK20" s="1">
        <v>49522</v>
      </c>
      <c r="EL20" s="1">
        <v>49553</v>
      </c>
      <c r="EM20" s="1">
        <v>49583</v>
      </c>
      <c r="EN20" s="1">
        <v>49614</v>
      </c>
      <c r="EO20" s="1">
        <v>49644</v>
      </c>
      <c r="EP20" s="1">
        <v>49675</v>
      </c>
      <c r="EQ20" s="1">
        <v>49706</v>
      </c>
      <c r="ER20" s="1">
        <v>49735</v>
      </c>
      <c r="ES20" s="1">
        <v>49766</v>
      </c>
      <c r="ET20" s="1">
        <v>49796</v>
      </c>
      <c r="EU20" s="1">
        <v>49827</v>
      </c>
      <c r="EV20" s="1">
        <v>49857</v>
      </c>
      <c r="EW20" s="1">
        <v>49888</v>
      </c>
      <c r="EX20" s="1">
        <v>49919</v>
      </c>
      <c r="EY20" s="1">
        <v>49949</v>
      </c>
      <c r="EZ20" s="1">
        <v>49980</v>
      </c>
      <c r="FA20" s="1">
        <v>50010</v>
      </c>
      <c r="FB20" s="1">
        <v>50041</v>
      </c>
      <c r="FC20" s="1">
        <v>50072</v>
      </c>
      <c r="FD20" s="1">
        <v>50100</v>
      </c>
      <c r="FE20" s="1">
        <v>50131</v>
      </c>
      <c r="FF20" s="1">
        <v>50161</v>
      </c>
      <c r="FG20" s="1">
        <v>50192</v>
      </c>
      <c r="FH20" s="1">
        <v>50222</v>
      </c>
      <c r="FI20" s="1">
        <v>50253</v>
      </c>
      <c r="FJ20" s="1">
        <v>50284</v>
      </c>
      <c r="FK20" s="1">
        <v>50314</v>
      </c>
      <c r="FL20" s="1">
        <v>50345</v>
      </c>
      <c r="FM20" s="1">
        <v>50375</v>
      </c>
      <c r="FN20" s="1">
        <v>50406</v>
      </c>
      <c r="FO20" s="1">
        <v>50437</v>
      </c>
      <c r="FP20" s="1">
        <v>50465</v>
      </c>
      <c r="FQ20" s="1">
        <v>50496</v>
      </c>
      <c r="FR20" s="1">
        <v>50526</v>
      </c>
      <c r="FS20" s="1">
        <v>50557</v>
      </c>
      <c r="FT20" s="1">
        <v>50587</v>
      </c>
      <c r="FU20" s="1">
        <v>50618</v>
      </c>
      <c r="FV20" s="1">
        <v>50649</v>
      </c>
      <c r="FW20" s="1">
        <v>50679</v>
      </c>
      <c r="FX20" s="1">
        <v>50710</v>
      </c>
      <c r="FY20" s="1">
        <v>50740</v>
      </c>
    </row>
    <row r="21" spans="1:181" x14ac:dyDescent="0.3">
      <c r="A21" s="2">
        <v>1</v>
      </c>
      <c r="B21" s="5">
        <v>1.1561999999999999</v>
      </c>
      <c r="C21" s="5">
        <v>1.2063999999999999</v>
      </c>
      <c r="D21" s="5">
        <v>1.2141999999999999</v>
      </c>
      <c r="E21" s="5">
        <v>1.1692</v>
      </c>
      <c r="F21" s="5">
        <v>1.2509999999999999</v>
      </c>
      <c r="G21" s="5">
        <v>1.2081999999999999</v>
      </c>
      <c r="H21" s="5">
        <v>1.1856</v>
      </c>
      <c r="I21" s="5">
        <v>1.1440999999999999</v>
      </c>
      <c r="J21" s="5">
        <v>1.0920000000000001</v>
      </c>
      <c r="K21" s="5">
        <v>1.1952</v>
      </c>
      <c r="L21" s="5">
        <v>1.2583</v>
      </c>
      <c r="M21" s="5">
        <v>1.2085999999999999</v>
      </c>
      <c r="N21" s="5">
        <v>1.1600999999999999</v>
      </c>
      <c r="O21" s="5">
        <v>1.2101</v>
      </c>
      <c r="P21" s="5">
        <v>1.2168000000000001</v>
      </c>
      <c r="Q21" s="5">
        <v>1.1718</v>
      </c>
      <c r="R21" s="5">
        <v>1.2527999999999999</v>
      </c>
      <c r="S21" s="5">
        <v>1.2124999999999999</v>
      </c>
      <c r="T21" s="5">
        <v>1.1893</v>
      </c>
      <c r="U21" s="5">
        <v>1.1515</v>
      </c>
      <c r="V21" s="5">
        <v>1.0953999999999999</v>
      </c>
      <c r="W21" s="5">
        <v>1.2028000000000001</v>
      </c>
      <c r="X21" s="5">
        <v>1.2667999999999999</v>
      </c>
      <c r="Y21" s="5">
        <v>1.2119</v>
      </c>
      <c r="Z21" s="5">
        <v>1.1649</v>
      </c>
      <c r="AA21" s="5">
        <v>1.2131000000000001</v>
      </c>
      <c r="AB21" s="5">
        <v>1.2206999999999999</v>
      </c>
      <c r="AC21" s="5">
        <v>1.1748000000000001</v>
      </c>
      <c r="AD21" s="5">
        <v>1.2534000000000001</v>
      </c>
      <c r="AE21" s="5">
        <v>1.2141</v>
      </c>
      <c r="AF21" s="5">
        <v>1.1900999999999999</v>
      </c>
      <c r="AG21" s="5">
        <v>1.1549</v>
      </c>
      <c r="AH21" s="5">
        <v>1.0976999999999999</v>
      </c>
      <c r="AI21" s="5">
        <v>1.2015</v>
      </c>
      <c r="AJ21" s="5">
        <v>1.2644</v>
      </c>
      <c r="AK21" s="5">
        <v>1.2101</v>
      </c>
      <c r="AL21" s="5">
        <v>1.1665000000000001</v>
      </c>
      <c r="AM21" s="5">
        <v>1.2141</v>
      </c>
      <c r="AN21" s="5">
        <v>1.2216</v>
      </c>
      <c r="AO21" s="5">
        <v>1.1758</v>
      </c>
      <c r="AP21" s="5">
        <v>1.2528999999999999</v>
      </c>
      <c r="AQ21" s="5">
        <v>1.2143999999999999</v>
      </c>
      <c r="AR21" s="5">
        <v>1.1906000000000001</v>
      </c>
      <c r="AS21" s="5">
        <v>1.1560999999999999</v>
      </c>
      <c r="AT21" s="5">
        <v>1.0988</v>
      </c>
      <c r="AU21" s="5">
        <v>1.2018</v>
      </c>
      <c r="AV21" s="5">
        <v>1.2642</v>
      </c>
      <c r="AW21" s="5">
        <v>1.2097</v>
      </c>
      <c r="AX21" s="5">
        <v>1.1997</v>
      </c>
      <c r="AY21" s="5">
        <v>1.2159</v>
      </c>
      <c r="AZ21" s="5">
        <v>1.2234</v>
      </c>
      <c r="BA21" s="5">
        <v>1.1769000000000001</v>
      </c>
      <c r="BB21" s="5">
        <v>1.2523</v>
      </c>
      <c r="BC21" s="5">
        <v>1.2143999999999999</v>
      </c>
      <c r="BD21" s="5">
        <v>1.1904999999999999</v>
      </c>
      <c r="BE21" s="5">
        <v>1.1558999999999999</v>
      </c>
      <c r="BF21" s="5">
        <v>1.0992999999999999</v>
      </c>
      <c r="BG21" s="5">
        <v>1.1997</v>
      </c>
      <c r="BH21" s="5">
        <v>1.2605999999999999</v>
      </c>
      <c r="BI21" s="5">
        <v>1.2082999999999999</v>
      </c>
      <c r="BJ21" s="5">
        <v>1.1957</v>
      </c>
      <c r="BK21" s="5">
        <v>1.2138</v>
      </c>
      <c r="BL21" s="5">
        <v>1.2202999999999999</v>
      </c>
      <c r="BM21" s="5">
        <v>1.1756</v>
      </c>
      <c r="BN21" s="5">
        <v>1.2490000000000001</v>
      </c>
      <c r="BO21" s="5">
        <v>1.2168000000000001</v>
      </c>
      <c r="BP21" s="5">
        <v>1.1931</v>
      </c>
      <c r="BQ21" s="5">
        <v>1.1626000000000001</v>
      </c>
      <c r="BR21" s="5">
        <v>1.099</v>
      </c>
      <c r="BS21" s="5">
        <v>1.2003999999999999</v>
      </c>
      <c r="BT21" s="5">
        <v>1.2623</v>
      </c>
      <c r="BU21" s="5">
        <v>1.2071000000000001</v>
      </c>
      <c r="BV21" s="5">
        <v>1.1949000000000001</v>
      </c>
      <c r="BW21" s="5">
        <v>1.2137</v>
      </c>
      <c r="BX21" s="5">
        <v>1.2193000000000001</v>
      </c>
      <c r="BY21" s="5">
        <v>1.1748000000000001</v>
      </c>
      <c r="BZ21" s="5">
        <v>1.2467999999999999</v>
      </c>
      <c r="CA21" s="5">
        <v>1.2162999999999999</v>
      </c>
      <c r="CB21" s="5">
        <v>1.1935</v>
      </c>
      <c r="CC21" s="5">
        <v>1.1636</v>
      </c>
      <c r="CD21" s="5">
        <v>1.099</v>
      </c>
      <c r="CE21" s="5">
        <v>1.1991000000000001</v>
      </c>
      <c r="CF21" s="5">
        <v>1.2609999999999999</v>
      </c>
      <c r="CG21" s="5">
        <v>1.2054</v>
      </c>
      <c r="CH21" s="5">
        <v>1.1962999999999999</v>
      </c>
      <c r="CI21" s="5">
        <v>1.2150000000000001</v>
      </c>
      <c r="CJ21" s="5">
        <v>1.22</v>
      </c>
      <c r="CK21" s="5">
        <v>1.1758</v>
      </c>
      <c r="CL21" s="5">
        <v>1.2454000000000001</v>
      </c>
      <c r="CM21" s="5">
        <v>1.2174</v>
      </c>
      <c r="CN21" s="5">
        <v>1.1948000000000001</v>
      </c>
      <c r="CO21" s="5">
        <v>1.1657999999999999</v>
      </c>
      <c r="CP21" s="5">
        <v>1.1000000000000001</v>
      </c>
      <c r="CQ21" s="5">
        <v>1.1989000000000001</v>
      </c>
      <c r="CR21" s="5">
        <v>1.2644</v>
      </c>
      <c r="CS21" s="5">
        <v>1.2042999999999999</v>
      </c>
      <c r="CT21" s="5">
        <v>1.1994</v>
      </c>
      <c r="CU21" s="5">
        <v>1.2171000000000001</v>
      </c>
      <c r="CV21" s="5">
        <v>1.2218</v>
      </c>
      <c r="CW21" s="5">
        <v>1.1768000000000001</v>
      </c>
      <c r="CX21" s="5">
        <v>1.244</v>
      </c>
      <c r="CY21" s="5">
        <v>1.2176</v>
      </c>
      <c r="CZ21" s="5">
        <v>1.1947000000000001</v>
      </c>
      <c r="DA21" s="5">
        <v>1.1661999999999999</v>
      </c>
      <c r="DB21" s="5">
        <v>1.1002000000000001</v>
      </c>
      <c r="DC21" s="5">
        <v>1.1966000000000001</v>
      </c>
      <c r="DD21" s="5">
        <v>1.2602</v>
      </c>
      <c r="DE21" s="5">
        <v>1.2030000000000001</v>
      </c>
      <c r="DF21" s="5">
        <v>1.1954</v>
      </c>
      <c r="DG21" s="5">
        <v>1.2146999999999999</v>
      </c>
      <c r="DH21" s="5">
        <v>1.2183999999999999</v>
      </c>
      <c r="DI21" s="5">
        <v>1.1746000000000001</v>
      </c>
      <c r="DJ21" s="5">
        <v>1.2402</v>
      </c>
      <c r="DK21" s="5">
        <v>1.2168000000000001</v>
      </c>
      <c r="DL21" s="5">
        <v>1.1953</v>
      </c>
      <c r="DM21" s="5">
        <v>1.1680999999999999</v>
      </c>
      <c r="DN21" s="5">
        <v>1.0999000000000001</v>
      </c>
      <c r="DO21" s="5">
        <v>1.1962999999999999</v>
      </c>
      <c r="DP21" s="5">
        <v>1.2611000000000001</v>
      </c>
      <c r="DQ21" s="5">
        <v>1.2007000000000001</v>
      </c>
      <c r="DR21" s="5">
        <v>1.196</v>
      </c>
      <c r="DS21" s="5">
        <v>1.2153</v>
      </c>
      <c r="DT21" s="5">
        <v>1.2184999999999999</v>
      </c>
      <c r="DU21" s="5">
        <v>1.1749000000000001</v>
      </c>
      <c r="DV21" s="5">
        <v>1.2383999999999999</v>
      </c>
      <c r="DW21" s="5">
        <v>1.2173</v>
      </c>
      <c r="DX21" s="5">
        <v>1.1961999999999999</v>
      </c>
      <c r="DY21" s="5">
        <v>1.1697</v>
      </c>
      <c r="DZ21" s="5">
        <v>1.1009</v>
      </c>
      <c r="EA21" s="5">
        <v>1.196</v>
      </c>
      <c r="EB21" s="5">
        <v>1.2605</v>
      </c>
      <c r="EC21" s="5">
        <v>1.1999</v>
      </c>
      <c r="ED21" s="5">
        <v>1.1964999999999999</v>
      </c>
      <c r="EE21" s="5">
        <v>1.2158</v>
      </c>
      <c r="EF21" s="5">
        <v>1.2184999999999999</v>
      </c>
      <c r="EG21" s="5">
        <v>1.1751</v>
      </c>
      <c r="EH21" s="5">
        <v>1.2365999999999999</v>
      </c>
      <c r="EI21" s="5">
        <v>1.2176</v>
      </c>
      <c r="EJ21" s="5">
        <v>1.1969000000000001</v>
      </c>
      <c r="EK21" s="5">
        <v>1.1712</v>
      </c>
      <c r="EL21" s="5">
        <v>1.1019000000000001</v>
      </c>
      <c r="EM21" s="5">
        <v>1.1954</v>
      </c>
      <c r="EN21" s="5">
        <v>1.2598</v>
      </c>
      <c r="EO21" s="5">
        <v>1.1861999999999999</v>
      </c>
      <c r="EP21" s="5">
        <v>1.1992</v>
      </c>
      <c r="EQ21" s="5">
        <v>1.1937</v>
      </c>
      <c r="ER21" s="5">
        <v>1.2202</v>
      </c>
      <c r="ES21" s="5">
        <v>1.1758999999999999</v>
      </c>
      <c r="ET21" s="5">
        <v>1.2347999999999999</v>
      </c>
      <c r="EU21" s="5">
        <v>1.2177</v>
      </c>
      <c r="EV21" s="5">
        <v>1.1967000000000001</v>
      </c>
      <c r="EW21" s="5">
        <v>1.1714</v>
      </c>
      <c r="EX21" s="5">
        <v>1.1019000000000001</v>
      </c>
      <c r="EY21" s="5">
        <v>1.1930000000000001</v>
      </c>
      <c r="EZ21" s="5">
        <v>1.2552000000000001</v>
      </c>
      <c r="FA21" s="5">
        <v>1.1856</v>
      </c>
      <c r="FB21" s="5">
        <v>1.1967000000000001</v>
      </c>
      <c r="FC21" s="5">
        <v>1.2163999999999999</v>
      </c>
      <c r="FD21" s="5">
        <v>1.2179</v>
      </c>
      <c r="FE21" s="5">
        <v>1.1749000000000001</v>
      </c>
      <c r="FF21" s="5">
        <v>1.2323</v>
      </c>
      <c r="FG21" s="5">
        <v>1.2181999999999999</v>
      </c>
      <c r="FH21" s="5">
        <v>1.1983999999999999</v>
      </c>
      <c r="FI21" s="5">
        <v>1.1745000000000001</v>
      </c>
      <c r="FJ21" s="5">
        <v>1.103</v>
      </c>
      <c r="FK21" s="5">
        <v>1.194</v>
      </c>
      <c r="FL21" s="5">
        <v>1.2574000000000001</v>
      </c>
      <c r="FM21" s="5">
        <v>1.1857</v>
      </c>
      <c r="FN21" s="5">
        <v>1.1943999999999999</v>
      </c>
      <c r="FO21" s="5">
        <v>1.2142999999999999</v>
      </c>
      <c r="FP21" s="5">
        <v>1.2158</v>
      </c>
      <c r="FQ21" s="5">
        <v>1.1757</v>
      </c>
      <c r="FR21" s="5">
        <v>1.2311000000000001</v>
      </c>
      <c r="FS21" s="5">
        <v>1.2192000000000001</v>
      </c>
      <c r="FT21" s="5">
        <v>1.2013</v>
      </c>
      <c r="FU21" s="5">
        <v>1.1769000000000001</v>
      </c>
      <c r="FV21" s="5">
        <v>1.1041000000000001</v>
      </c>
      <c r="FW21" s="5">
        <v>1.194</v>
      </c>
      <c r="FX21" s="5">
        <v>1.2571000000000001</v>
      </c>
      <c r="FY21" s="5">
        <v>1.1875</v>
      </c>
    </row>
    <row r="22" spans="1:181" x14ac:dyDescent="0.3">
      <c r="A22" s="2">
        <v>2</v>
      </c>
      <c r="B22" s="5">
        <v>1.0746</v>
      </c>
      <c r="C22" s="5">
        <v>1.0871999999999999</v>
      </c>
      <c r="D22" s="5">
        <v>1.0891</v>
      </c>
      <c r="E22" s="5">
        <v>1.1085</v>
      </c>
      <c r="F22" s="5">
        <v>1.1153999999999999</v>
      </c>
      <c r="G22" s="5">
        <v>1.1129</v>
      </c>
      <c r="H22" s="5">
        <v>1.1226</v>
      </c>
      <c r="I22" s="5">
        <v>1.1215999999999999</v>
      </c>
      <c r="J22" s="5">
        <v>1.1236999999999999</v>
      </c>
      <c r="K22" s="5">
        <v>1.1024</v>
      </c>
      <c r="L22" s="5">
        <v>1.1206</v>
      </c>
      <c r="M22" s="5">
        <v>1.1119000000000001</v>
      </c>
      <c r="N22" s="5">
        <v>1.0835999999999999</v>
      </c>
      <c r="O22" s="5">
        <v>1.0938000000000001</v>
      </c>
      <c r="P22" s="5">
        <v>1.0939000000000001</v>
      </c>
      <c r="Q22" s="5">
        <v>1.1137999999999999</v>
      </c>
      <c r="R22" s="5">
        <v>1.1189</v>
      </c>
      <c r="S22" s="5">
        <v>1.1174999999999999</v>
      </c>
      <c r="T22" s="5">
        <v>1.1258999999999999</v>
      </c>
      <c r="U22" s="5">
        <v>1.1264000000000001</v>
      </c>
      <c r="V22" s="5">
        <v>1.1287</v>
      </c>
      <c r="W22" s="5">
        <v>1.1096999999999999</v>
      </c>
      <c r="X22" s="5">
        <v>1.1266</v>
      </c>
      <c r="Y22" s="5">
        <v>1.1151</v>
      </c>
      <c r="Z22" s="5">
        <v>1.0896999999999999</v>
      </c>
      <c r="AA22" s="5">
        <v>1.0969</v>
      </c>
      <c r="AB22" s="5">
        <v>1.0973999999999999</v>
      </c>
      <c r="AC22" s="5">
        <v>1.1173999999999999</v>
      </c>
      <c r="AD22" s="5">
        <v>1.1217999999999999</v>
      </c>
      <c r="AE22" s="5">
        <v>1.1198999999999999</v>
      </c>
      <c r="AF22" s="5">
        <v>1.1271</v>
      </c>
      <c r="AG22" s="5">
        <v>1.1284000000000001</v>
      </c>
      <c r="AH22" s="5">
        <v>1.1315</v>
      </c>
      <c r="AI22" s="5">
        <v>1.1105</v>
      </c>
      <c r="AJ22" s="5">
        <v>1.1267</v>
      </c>
      <c r="AK22" s="5">
        <v>1.1148</v>
      </c>
      <c r="AL22" s="5">
        <v>1.0914999999999999</v>
      </c>
      <c r="AM22" s="5">
        <v>1.0984</v>
      </c>
      <c r="AN22" s="5">
        <v>1.0989</v>
      </c>
      <c r="AO22" s="5">
        <v>1.1189</v>
      </c>
      <c r="AP22" s="5">
        <v>1.1232</v>
      </c>
      <c r="AQ22" s="5">
        <v>1.1212</v>
      </c>
      <c r="AR22" s="5">
        <v>1.1267</v>
      </c>
      <c r="AS22" s="5">
        <v>1.1295999999999999</v>
      </c>
      <c r="AT22" s="5">
        <v>1.1329</v>
      </c>
      <c r="AU22" s="5">
        <v>1.1119000000000001</v>
      </c>
      <c r="AV22" s="5">
        <v>1.1276999999999999</v>
      </c>
      <c r="AW22" s="5">
        <v>1.1153999999999999</v>
      </c>
      <c r="AX22" s="5">
        <v>1.0924</v>
      </c>
      <c r="AY22" s="5">
        <v>1.1002000000000001</v>
      </c>
      <c r="AZ22" s="5">
        <v>1.1005</v>
      </c>
      <c r="BA22" s="5">
        <v>1.1204000000000001</v>
      </c>
      <c r="BB22" s="5">
        <v>1.1244000000000001</v>
      </c>
      <c r="BC22" s="5">
        <v>1.1222000000000001</v>
      </c>
      <c r="BD22" s="5">
        <v>1.1274999999999999</v>
      </c>
      <c r="BE22" s="5">
        <v>1.1301000000000001</v>
      </c>
      <c r="BF22" s="5">
        <v>1.1331</v>
      </c>
      <c r="BG22" s="5">
        <v>1.1117999999999999</v>
      </c>
      <c r="BH22" s="5">
        <v>1.1269</v>
      </c>
      <c r="BI22" s="5">
        <v>1.1157999999999999</v>
      </c>
      <c r="BJ22" s="5">
        <v>1.0929</v>
      </c>
      <c r="BK22" s="5">
        <v>1.0993999999999999</v>
      </c>
      <c r="BL22" s="5">
        <v>1.0998000000000001</v>
      </c>
      <c r="BM22" s="5">
        <v>1.1194999999999999</v>
      </c>
      <c r="BN22" s="5">
        <v>1.1241000000000001</v>
      </c>
      <c r="BO22" s="5">
        <v>1.1223000000000001</v>
      </c>
      <c r="BP22" s="5">
        <v>1.1282000000000001</v>
      </c>
      <c r="BQ22" s="5">
        <v>1.1306</v>
      </c>
      <c r="BR22" s="5">
        <v>1.1342000000000001</v>
      </c>
      <c r="BS22" s="5">
        <v>1.1133</v>
      </c>
      <c r="BT22" s="5">
        <v>1.1285000000000001</v>
      </c>
      <c r="BU22" s="5">
        <v>1.1160000000000001</v>
      </c>
      <c r="BV22" s="5">
        <v>1.0931999999999999</v>
      </c>
      <c r="BW22" s="5">
        <v>1.1000000000000001</v>
      </c>
      <c r="BX22" s="5">
        <v>1.1002000000000001</v>
      </c>
      <c r="BY22" s="5">
        <v>1.1200000000000001</v>
      </c>
      <c r="BZ22" s="5">
        <v>1.1243000000000001</v>
      </c>
      <c r="CA22" s="5">
        <v>1.1225000000000001</v>
      </c>
      <c r="CB22" s="5">
        <v>1.1288</v>
      </c>
      <c r="CC22" s="5">
        <v>1.1307</v>
      </c>
      <c r="CD22" s="5">
        <v>1.1344000000000001</v>
      </c>
      <c r="CE22" s="5">
        <v>1.1136999999999999</v>
      </c>
      <c r="CF22" s="5">
        <v>1.1285000000000001</v>
      </c>
      <c r="CG22" s="5">
        <v>1.1161000000000001</v>
      </c>
      <c r="CH22" s="5">
        <v>1.0946</v>
      </c>
      <c r="CI22" s="5">
        <v>1.1015999999999999</v>
      </c>
      <c r="CJ22" s="5">
        <v>1.1014999999999999</v>
      </c>
      <c r="CK22" s="5">
        <v>1.121</v>
      </c>
      <c r="CL22" s="5">
        <v>1.1254</v>
      </c>
      <c r="CM22" s="5">
        <v>1.1236999999999999</v>
      </c>
      <c r="CN22" s="5">
        <v>1.1301000000000001</v>
      </c>
      <c r="CO22" s="5">
        <v>1.1316999999999999</v>
      </c>
      <c r="CP22" s="5">
        <v>1.1354</v>
      </c>
      <c r="CQ22" s="5">
        <v>1.1146</v>
      </c>
      <c r="CR22" s="5">
        <v>1.1291</v>
      </c>
      <c r="CS22" s="5">
        <v>1.1166</v>
      </c>
      <c r="CT22" s="5">
        <v>1.0964</v>
      </c>
      <c r="CU22" s="5">
        <v>1.1029</v>
      </c>
      <c r="CV22" s="5">
        <v>1.1029</v>
      </c>
      <c r="CW22" s="5">
        <v>1.1223000000000001</v>
      </c>
      <c r="CX22" s="5">
        <v>1.1262000000000001</v>
      </c>
      <c r="CY22" s="5">
        <v>1.1243000000000001</v>
      </c>
      <c r="CZ22" s="5">
        <v>1.1304000000000001</v>
      </c>
      <c r="DA22" s="5">
        <v>1.1315</v>
      </c>
      <c r="DB22" s="5">
        <v>1.135</v>
      </c>
      <c r="DC22" s="5">
        <v>1.1141000000000001</v>
      </c>
      <c r="DD22" s="5">
        <v>1.1281000000000001</v>
      </c>
      <c r="DE22" s="5">
        <v>1.1169</v>
      </c>
      <c r="DF22" s="5">
        <v>1.0947</v>
      </c>
      <c r="DG22" s="5">
        <v>1.1021000000000001</v>
      </c>
      <c r="DH22" s="5">
        <v>1.1019000000000001</v>
      </c>
      <c r="DI22" s="5">
        <v>1.1213</v>
      </c>
      <c r="DJ22" s="5">
        <v>1.1254</v>
      </c>
      <c r="DK22" s="5">
        <v>1.1237999999999999</v>
      </c>
      <c r="DL22" s="5">
        <v>1.1307</v>
      </c>
      <c r="DM22" s="5">
        <v>1.1314</v>
      </c>
      <c r="DN22" s="5">
        <v>1.1351</v>
      </c>
      <c r="DO22" s="5">
        <v>1.1148</v>
      </c>
      <c r="DP22" s="5">
        <v>1.1291</v>
      </c>
      <c r="DQ22" s="5">
        <v>1.1166</v>
      </c>
      <c r="DR22" s="5">
        <v>1.0951</v>
      </c>
      <c r="DS22" s="5">
        <v>1.103</v>
      </c>
      <c r="DT22" s="5">
        <v>1.1027</v>
      </c>
      <c r="DU22" s="5">
        <v>1.1221000000000001</v>
      </c>
      <c r="DV22" s="5">
        <v>1.1259999999999999</v>
      </c>
      <c r="DW22" s="5">
        <v>1.1246</v>
      </c>
      <c r="DX22" s="5">
        <v>1.1315999999999999</v>
      </c>
      <c r="DY22" s="5">
        <v>1.1319999999999999</v>
      </c>
      <c r="DZ22" s="5">
        <v>1.1357999999999999</v>
      </c>
      <c r="EA22" s="5">
        <v>1.1154999999999999</v>
      </c>
      <c r="EB22" s="5">
        <v>1.1296999999999999</v>
      </c>
      <c r="EC22" s="5">
        <v>1.1171</v>
      </c>
      <c r="ED22" s="5">
        <v>1.0953999999999999</v>
      </c>
      <c r="EE22" s="5">
        <v>1.1036999999999999</v>
      </c>
      <c r="EF22" s="5">
        <v>1.1032999999999999</v>
      </c>
      <c r="EG22" s="5">
        <v>1.1226</v>
      </c>
      <c r="EH22" s="5">
        <v>1.1266</v>
      </c>
      <c r="EI22" s="5">
        <v>1.1252</v>
      </c>
      <c r="EJ22" s="5">
        <v>1.1325000000000001</v>
      </c>
      <c r="EK22" s="5">
        <v>1.1325000000000001</v>
      </c>
      <c r="EL22" s="5">
        <v>1.1363000000000001</v>
      </c>
      <c r="EM22" s="5">
        <v>1.1165</v>
      </c>
      <c r="EN22" s="5">
        <v>1.1303000000000001</v>
      </c>
      <c r="EO22" s="5">
        <v>1.1182000000000001</v>
      </c>
      <c r="EP22" s="5">
        <v>1.097</v>
      </c>
      <c r="EQ22" s="5">
        <v>1.1055999999999999</v>
      </c>
      <c r="ER22" s="5">
        <v>1.1048</v>
      </c>
      <c r="ES22" s="5">
        <v>1.1235999999999999</v>
      </c>
      <c r="ET22" s="5">
        <v>1.1273</v>
      </c>
      <c r="EU22" s="5">
        <v>1.1317999999999999</v>
      </c>
      <c r="EV22" s="5">
        <v>1.1326000000000001</v>
      </c>
      <c r="EW22" s="5">
        <v>1.1321000000000001</v>
      </c>
      <c r="EX22" s="5">
        <v>1.1357999999999999</v>
      </c>
      <c r="EY22" s="5">
        <v>1.1156999999999999</v>
      </c>
      <c r="EZ22" s="5">
        <v>1.1291</v>
      </c>
      <c r="FA22" s="5">
        <v>1.1183000000000001</v>
      </c>
      <c r="FB22" s="5">
        <v>1.0956999999999999</v>
      </c>
      <c r="FC22" s="5">
        <v>1.1049</v>
      </c>
      <c r="FD22" s="5">
        <v>1.1042000000000001</v>
      </c>
      <c r="FE22" s="5">
        <v>1.1233</v>
      </c>
      <c r="FF22" s="5">
        <v>1.1274</v>
      </c>
      <c r="FG22" s="5">
        <v>1.1259999999999999</v>
      </c>
      <c r="FH22" s="5">
        <v>1.1336999999999999</v>
      </c>
      <c r="FI22" s="5">
        <v>1.1326000000000001</v>
      </c>
      <c r="FJ22" s="5">
        <v>1.1368</v>
      </c>
      <c r="FK22" s="5">
        <v>1.1173</v>
      </c>
      <c r="FL22" s="5">
        <v>1.131</v>
      </c>
      <c r="FM22" s="5">
        <v>1.1187</v>
      </c>
      <c r="FN22" s="5">
        <v>1.0946</v>
      </c>
      <c r="FO22" s="5">
        <v>1.1036999999999999</v>
      </c>
      <c r="FP22" s="5">
        <v>1.1034999999999999</v>
      </c>
      <c r="FQ22" s="5">
        <v>1.1242000000000001</v>
      </c>
      <c r="FR22" s="5">
        <v>1.1281000000000001</v>
      </c>
      <c r="FS22" s="5">
        <v>1.1267</v>
      </c>
      <c r="FT22" s="5">
        <v>1.1358999999999999</v>
      </c>
      <c r="FU22" s="5">
        <v>1.1333</v>
      </c>
      <c r="FV22" s="5">
        <v>1.1375</v>
      </c>
      <c r="FW22" s="5">
        <v>1.1181000000000001</v>
      </c>
      <c r="FX22" s="5">
        <v>1.1316999999999999</v>
      </c>
      <c r="FY22" s="5">
        <v>1.1203000000000001</v>
      </c>
    </row>
    <row r="23" spans="1:181" x14ac:dyDescent="0.3">
      <c r="A23" s="2">
        <v>3</v>
      </c>
      <c r="B23" s="5">
        <v>0.98709999999999998</v>
      </c>
      <c r="C23" s="5">
        <v>0.97589999999999999</v>
      </c>
      <c r="D23" s="5">
        <v>0.98970000000000002</v>
      </c>
      <c r="E23" s="5">
        <v>0.97899999999999998</v>
      </c>
      <c r="F23" s="5">
        <v>0.98480000000000001</v>
      </c>
      <c r="G23" s="5">
        <v>0.98360000000000003</v>
      </c>
      <c r="H23" s="5">
        <v>0.98409999999999997</v>
      </c>
      <c r="I23" s="5">
        <v>0.98119999999999996</v>
      </c>
      <c r="J23" s="5">
        <v>0.98599999999999999</v>
      </c>
      <c r="K23" s="5">
        <v>0.98540000000000005</v>
      </c>
      <c r="L23" s="5">
        <v>0.98119999999999996</v>
      </c>
      <c r="M23" s="5">
        <v>0.99439999999999995</v>
      </c>
      <c r="N23" s="5">
        <v>0.98240000000000005</v>
      </c>
      <c r="O23" s="5">
        <v>0.98509999999999998</v>
      </c>
      <c r="P23" s="5">
        <v>0.98780000000000001</v>
      </c>
      <c r="Q23" s="5">
        <v>0.97629999999999995</v>
      </c>
      <c r="R23" s="5">
        <v>0.97689999999999999</v>
      </c>
      <c r="S23" s="5">
        <v>0.98570000000000002</v>
      </c>
      <c r="T23" s="5">
        <v>0.99019999999999997</v>
      </c>
      <c r="U23" s="5">
        <v>0.98550000000000004</v>
      </c>
      <c r="V23" s="5">
        <v>0.98980000000000001</v>
      </c>
      <c r="W23" s="5">
        <v>0.98599999999999999</v>
      </c>
      <c r="X23" s="5">
        <v>0.98080000000000001</v>
      </c>
      <c r="Y23" s="5">
        <v>0.99480000000000002</v>
      </c>
      <c r="Z23" s="5">
        <v>0.97840000000000005</v>
      </c>
      <c r="AA23" s="5">
        <v>0.98899999999999999</v>
      </c>
      <c r="AB23" s="5">
        <v>0.98750000000000004</v>
      </c>
      <c r="AC23" s="5">
        <v>0.97599999999999998</v>
      </c>
      <c r="AD23" s="5">
        <v>0.97529999999999994</v>
      </c>
      <c r="AE23" s="5">
        <v>0.98760000000000003</v>
      </c>
      <c r="AF23" s="5">
        <v>0.99539999999999995</v>
      </c>
      <c r="AG23" s="5">
        <v>0.98870000000000002</v>
      </c>
      <c r="AH23" s="5">
        <v>0.99339999999999995</v>
      </c>
      <c r="AI23" s="5">
        <v>0.98729999999999996</v>
      </c>
      <c r="AJ23" s="5">
        <v>0.98129999999999995</v>
      </c>
      <c r="AK23" s="5">
        <v>0.99519999999999997</v>
      </c>
      <c r="AL23" s="5">
        <v>0.97719999999999996</v>
      </c>
      <c r="AM23" s="5">
        <v>0.98960000000000004</v>
      </c>
      <c r="AN23" s="5">
        <v>0.9869</v>
      </c>
      <c r="AO23" s="5">
        <v>0.9748</v>
      </c>
      <c r="AP23" s="5">
        <v>0.97389999999999999</v>
      </c>
      <c r="AQ23" s="5">
        <v>0.98729999999999996</v>
      </c>
      <c r="AR23" s="5">
        <v>0.99529999999999996</v>
      </c>
      <c r="AS23" s="5">
        <v>0.98870000000000002</v>
      </c>
      <c r="AT23" s="5">
        <v>0.99450000000000005</v>
      </c>
      <c r="AU23" s="5">
        <v>0.98740000000000006</v>
      </c>
      <c r="AV23" s="5">
        <v>0.98050000000000004</v>
      </c>
      <c r="AW23" s="5">
        <v>0.99470000000000003</v>
      </c>
      <c r="AX23" s="5">
        <v>0.9758</v>
      </c>
      <c r="AY23" s="5">
        <v>0.98440000000000005</v>
      </c>
      <c r="AZ23" s="5">
        <v>0.98660000000000003</v>
      </c>
      <c r="BA23" s="5">
        <v>0.97330000000000005</v>
      </c>
      <c r="BB23" s="5">
        <v>0.97240000000000004</v>
      </c>
      <c r="BC23" s="5">
        <v>0.98650000000000004</v>
      </c>
      <c r="BD23" s="5">
        <v>0.99490000000000001</v>
      </c>
      <c r="BE23" s="5">
        <v>0.9879</v>
      </c>
      <c r="BF23" s="5">
        <v>0.99470000000000003</v>
      </c>
      <c r="BG23" s="5">
        <v>0.98729999999999996</v>
      </c>
      <c r="BH23" s="5">
        <v>0.98</v>
      </c>
      <c r="BI23" s="5">
        <v>0.99409999999999998</v>
      </c>
      <c r="BJ23" s="5">
        <v>0.97499999999999998</v>
      </c>
      <c r="BK23" s="5">
        <v>0.98909999999999998</v>
      </c>
      <c r="BL23" s="5">
        <v>0.98580000000000001</v>
      </c>
      <c r="BM23" s="5">
        <v>0.97240000000000004</v>
      </c>
      <c r="BN23" s="5">
        <v>0.97170000000000001</v>
      </c>
      <c r="BO23" s="5">
        <v>0.98570000000000002</v>
      </c>
      <c r="BP23" s="5">
        <v>0.99429999999999996</v>
      </c>
      <c r="BQ23" s="5">
        <v>0.9869</v>
      </c>
      <c r="BR23" s="5">
        <v>0.99450000000000005</v>
      </c>
      <c r="BS23" s="5">
        <v>0.9869</v>
      </c>
      <c r="BT23" s="5">
        <v>0.97860000000000003</v>
      </c>
      <c r="BU23" s="5">
        <v>0.99350000000000005</v>
      </c>
      <c r="BV23" s="5">
        <v>0.97450000000000003</v>
      </c>
      <c r="BW23" s="5">
        <v>0.98929999999999996</v>
      </c>
      <c r="BX23" s="5">
        <v>0.98540000000000005</v>
      </c>
      <c r="BY23" s="5">
        <v>0.97150000000000003</v>
      </c>
      <c r="BZ23" s="5">
        <v>0.97089999999999999</v>
      </c>
      <c r="CA23" s="5">
        <v>0.98470000000000002</v>
      </c>
      <c r="CB23" s="5">
        <v>0.99380000000000002</v>
      </c>
      <c r="CC23" s="5">
        <v>0.98609999999999998</v>
      </c>
      <c r="CD23" s="5">
        <v>0.99490000000000001</v>
      </c>
      <c r="CE23" s="5">
        <v>0.9869</v>
      </c>
      <c r="CF23" s="5">
        <v>0.97770000000000001</v>
      </c>
      <c r="CG23" s="5">
        <v>0.99319999999999997</v>
      </c>
      <c r="CH23" s="5">
        <v>0.97370000000000001</v>
      </c>
      <c r="CI23" s="5">
        <v>0.98899999999999999</v>
      </c>
      <c r="CJ23" s="5">
        <v>0.98470000000000002</v>
      </c>
      <c r="CK23" s="5">
        <v>0.97019999999999995</v>
      </c>
      <c r="CL23" s="5">
        <v>0.96970000000000001</v>
      </c>
      <c r="CM23" s="5">
        <v>0.98350000000000004</v>
      </c>
      <c r="CN23" s="5">
        <v>0.9919</v>
      </c>
      <c r="CO23" s="5">
        <v>0.98450000000000004</v>
      </c>
      <c r="CP23" s="5">
        <v>0.99429999999999996</v>
      </c>
      <c r="CQ23" s="5">
        <v>0.98660000000000003</v>
      </c>
      <c r="CR23" s="5">
        <v>0.97689999999999999</v>
      </c>
      <c r="CS23" s="5">
        <v>0.99239999999999995</v>
      </c>
      <c r="CT23" s="5">
        <v>0.9728</v>
      </c>
      <c r="CU23" s="5">
        <v>0.98119999999999996</v>
      </c>
      <c r="CV23" s="5">
        <v>0.98440000000000005</v>
      </c>
      <c r="CW23" s="5">
        <v>0.96889999999999998</v>
      </c>
      <c r="CX23" s="5">
        <v>0.96889999999999998</v>
      </c>
      <c r="CY23" s="5">
        <v>0.98180000000000001</v>
      </c>
      <c r="CZ23" s="5">
        <v>0.98939999999999995</v>
      </c>
      <c r="DA23" s="5">
        <v>0.98219999999999996</v>
      </c>
      <c r="DB23" s="5">
        <v>0.99329999999999996</v>
      </c>
      <c r="DC23" s="5">
        <v>0.98599999999999999</v>
      </c>
      <c r="DD23" s="5">
        <v>0.97629999999999995</v>
      </c>
      <c r="DE23" s="5">
        <v>0.9919</v>
      </c>
      <c r="DF23" s="5">
        <v>0.97330000000000005</v>
      </c>
      <c r="DG23" s="5">
        <v>0.98670000000000002</v>
      </c>
      <c r="DH23" s="5">
        <v>0.9839</v>
      </c>
      <c r="DI23" s="5">
        <v>0.96870000000000001</v>
      </c>
      <c r="DJ23" s="5">
        <v>0.96850000000000003</v>
      </c>
      <c r="DK23" s="5">
        <v>0.98050000000000004</v>
      </c>
      <c r="DL23" s="5">
        <v>0.98660000000000003</v>
      </c>
      <c r="DM23" s="5">
        <v>0.98009999999999997</v>
      </c>
      <c r="DN23" s="5">
        <v>0.99180000000000001</v>
      </c>
      <c r="DO23" s="5">
        <v>0.98519999999999996</v>
      </c>
      <c r="DP23" s="5">
        <v>0.97529999999999994</v>
      </c>
      <c r="DQ23" s="5">
        <v>0.99139999999999995</v>
      </c>
      <c r="DR23" s="5">
        <v>0.97299999999999998</v>
      </c>
      <c r="DS23" s="5">
        <v>0.98550000000000004</v>
      </c>
      <c r="DT23" s="5">
        <v>0.98350000000000004</v>
      </c>
      <c r="DU23" s="5">
        <v>0.9677</v>
      </c>
      <c r="DV23" s="5">
        <v>0.9677</v>
      </c>
      <c r="DW23" s="5">
        <v>0.97919999999999996</v>
      </c>
      <c r="DX23" s="5">
        <v>0.98319999999999996</v>
      </c>
      <c r="DY23" s="5">
        <v>0.9778</v>
      </c>
      <c r="DZ23" s="5">
        <v>0.99039999999999995</v>
      </c>
      <c r="EA23" s="5">
        <v>0.98429999999999995</v>
      </c>
      <c r="EB23" s="5">
        <v>0.97440000000000004</v>
      </c>
      <c r="EC23" s="5">
        <v>0.99070000000000003</v>
      </c>
      <c r="ED23" s="5">
        <v>0.9728</v>
      </c>
      <c r="EE23" s="5">
        <v>0.98419999999999996</v>
      </c>
      <c r="EF23" s="5">
        <v>0.98299999999999998</v>
      </c>
      <c r="EG23" s="5">
        <v>0.96679999999999999</v>
      </c>
      <c r="EH23" s="5">
        <v>0.96699999999999997</v>
      </c>
      <c r="EI23" s="5">
        <v>0.97799999999999998</v>
      </c>
      <c r="EJ23" s="5">
        <v>0.98029999999999995</v>
      </c>
      <c r="EK23" s="5">
        <v>0.97589999999999999</v>
      </c>
      <c r="EL23" s="5">
        <v>0.98909999999999998</v>
      </c>
      <c r="EM23" s="5">
        <v>0.98360000000000003</v>
      </c>
      <c r="EN23" s="5">
        <v>0.9738</v>
      </c>
      <c r="EO23" s="5">
        <v>0.99019999999999997</v>
      </c>
      <c r="EP23" s="5">
        <v>0.97230000000000005</v>
      </c>
      <c r="EQ23" s="5">
        <v>0.97519999999999996</v>
      </c>
      <c r="ER23" s="5">
        <v>0.98270000000000002</v>
      </c>
      <c r="ES23" s="5">
        <v>0.96579999999999999</v>
      </c>
      <c r="ET23" s="5">
        <v>0.96630000000000005</v>
      </c>
      <c r="EU23" s="5">
        <v>1.0448</v>
      </c>
      <c r="EV23" s="5">
        <v>0.97740000000000005</v>
      </c>
      <c r="EW23" s="5">
        <v>0.97450000000000003</v>
      </c>
      <c r="EX23" s="5">
        <v>0.9879</v>
      </c>
      <c r="EY23" s="5">
        <v>0.9829</v>
      </c>
      <c r="EZ23" s="5">
        <v>0.97360000000000002</v>
      </c>
      <c r="FA23" s="5">
        <v>0.98980000000000001</v>
      </c>
      <c r="FB23" s="5">
        <v>0.97270000000000001</v>
      </c>
      <c r="FC23" s="5">
        <v>0.98150000000000004</v>
      </c>
      <c r="FD23" s="5">
        <v>0.98209999999999997</v>
      </c>
      <c r="FE23" s="5">
        <v>0.96540000000000004</v>
      </c>
      <c r="FF23" s="5">
        <v>0.96589999999999998</v>
      </c>
      <c r="FG23" s="5">
        <v>0.97589999999999999</v>
      </c>
      <c r="FH23" s="5">
        <v>0.97489999999999999</v>
      </c>
      <c r="FI23" s="5">
        <v>0.97250000000000003</v>
      </c>
      <c r="FJ23" s="5">
        <v>0.9859</v>
      </c>
      <c r="FK23" s="5">
        <v>0.9819</v>
      </c>
      <c r="FL23" s="5">
        <v>0.97250000000000003</v>
      </c>
      <c r="FM23" s="5">
        <v>0.98929999999999996</v>
      </c>
      <c r="FN23" s="5">
        <v>0.9728</v>
      </c>
      <c r="FO23" s="5">
        <v>0.98050000000000004</v>
      </c>
      <c r="FP23" s="5">
        <v>0.98180000000000001</v>
      </c>
      <c r="FQ23" s="5">
        <v>0.96460000000000001</v>
      </c>
      <c r="FR23" s="5">
        <v>0.96530000000000005</v>
      </c>
      <c r="FS23" s="5">
        <v>0.97509999999999997</v>
      </c>
      <c r="FT23" s="5">
        <v>0.97260000000000002</v>
      </c>
      <c r="FU23" s="5">
        <v>0.97130000000000005</v>
      </c>
      <c r="FV23" s="5">
        <v>0.98409999999999997</v>
      </c>
      <c r="FW23" s="5">
        <v>0.98109999999999997</v>
      </c>
      <c r="FX23" s="5">
        <v>0.97170000000000001</v>
      </c>
      <c r="FY23" s="5">
        <v>0.98870000000000002</v>
      </c>
    </row>
    <row r="24" spans="1:181" x14ac:dyDescent="0.3">
      <c r="A24" s="2">
        <v>4</v>
      </c>
      <c r="B24" s="5">
        <v>0.84909999999999997</v>
      </c>
      <c r="C24" s="5">
        <v>0.81530000000000002</v>
      </c>
      <c r="D24" s="5">
        <v>0.84260000000000002</v>
      </c>
      <c r="E24" s="5">
        <v>0.81920000000000004</v>
      </c>
      <c r="F24" s="5">
        <v>0.86560000000000004</v>
      </c>
      <c r="G24" s="5">
        <v>0.82720000000000005</v>
      </c>
      <c r="H24" s="5">
        <v>0.81130000000000002</v>
      </c>
      <c r="I24" s="5">
        <v>0.8085</v>
      </c>
      <c r="J24" s="5">
        <v>0.79859999999999998</v>
      </c>
      <c r="K24" s="5">
        <v>0.84019999999999995</v>
      </c>
      <c r="L24" s="5">
        <v>0.7964</v>
      </c>
      <c r="M24" s="5">
        <v>0.82599999999999996</v>
      </c>
      <c r="N24" s="5">
        <v>0.83069999999999999</v>
      </c>
      <c r="O24" s="5">
        <v>0.82750000000000001</v>
      </c>
      <c r="P24" s="5">
        <v>0.82950000000000002</v>
      </c>
      <c r="Q24" s="5">
        <v>0.79459999999999997</v>
      </c>
      <c r="R24" s="5">
        <v>0.82630000000000003</v>
      </c>
      <c r="S24" s="5">
        <v>0.81430000000000002</v>
      </c>
      <c r="T24" s="5">
        <v>0.80489999999999995</v>
      </c>
      <c r="U24" s="5">
        <v>0.79700000000000004</v>
      </c>
      <c r="V24" s="5">
        <v>0.79769999999999996</v>
      </c>
      <c r="W24" s="5">
        <v>0.82569999999999999</v>
      </c>
      <c r="X24" s="5">
        <v>0.78600000000000003</v>
      </c>
      <c r="Y24" s="5">
        <v>0.81889999999999996</v>
      </c>
      <c r="Z24" s="5">
        <v>0.81779999999999997</v>
      </c>
      <c r="AA24" s="5">
        <v>0.83079999999999998</v>
      </c>
      <c r="AB24" s="5">
        <v>0.82389999999999997</v>
      </c>
      <c r="AC24" s="5">
        <v>0.78839999999999999</v>
      </c>
      <c r="AD24" s="5">
        <v>0.81230000000000002</v>
      </c>
      <c r="AE24" s="5">
        <v>0.81110000000000004</v>
      </c>
      <c r="AF24" s="5">
        <v>0.80579999999999996</v>
      </c>
      <c r="AG24" s="5">
        <v>0.7944</v>
      </c>
      <c r="AH24" s="5">
        <v>0.79859999999999998</v>
      </c>
      <c r="AI24" s="5">
        <v>0.82379999999999998</v>
      </c>
      <c r="AJ24" s="5">
        <v>0.7853</v>
      </c>
      <c r="AK24" s="5">
        <v>0.81850000000000001</v>
      </c>
      <c r="AL24" s="5">
        <v>0.81440000000000001</v>
      </c>
      <c r="AM24" s="5">
        <v>0.83050000000000002</v>
      </c>
      <c r="AN24" s="5">
        <v>0.82130000000000003</v>
      </c>
      <c r="AO24" s="5">
        <v>0.78359999999999996</v>
      </c>
      <c r="AP24" s="5">
        <v>0.80549999999999999</v>
      </c>
      <c r="AQ24" s="5">
        <v>0.80820000000000003</v>
      </c>
      <c r="AR24" s="5">
        <v>0.80510000000000004</v>
      </c>
      <c r="AS24" s="5">
        <v>0.79149999999999998</v>
      </c>
      <c r="AT24" s="5">
        <v>0.79879999999999995</v>
      </c>
      <c r="AU24" s="5">
        <v>0.82150000000000001</v>
      </c>
      <c r="AV24" s="5">
        <v>0.78320000000000001</v>
      </c>
      <c r="AW24" s="5">
        <v>0.81659999999999999</v>
      </c>
      <c r="AX24" s="5">
        <v>0.81010000000000004</v>
      </c>
      <c r="AY24" s="5">
        <v>0.82120000000000004</v>
      </c>
      <c r="AZ24" s="5">
        <v>0.81979999999999997</v>
      </c>
      <c r="BA24" s="5">
        <v>0.77869999999999995</v>
      </c>
      <c r="BB24" s="5">
        <v>0.80110000000000003</v>
      </c>
      <c r="BC24" s="5">
        <v>0.80610000000000004</v>
      </c>
      <c r="BD24" s="5">
        <v>0.80349999999999999</v>
      </c>
      <c r="BE24" s="5">
        <v>0.78959999999999997</v>
      </c>
      <c r="BF24" s="5">
        <v>0.7994</v>
      </c>
      <c r="BG24" s="5">
        <v>0.82140000000000002</v>
      </c>
      <c r="BH24" s="5">
        <v>0.78400000000000003</v>
      </c>
      <c r="BI24" s="5">
        <v>0.81569999999999998</v>
      </c>
      <c r="BJ24" s="5">
        <v>0.8085</v>
      </c>
      <c r="BK24" s="5">
        <v>0.83069999999999999</v>
      </c>
      <c r="BL24" s="5">
        <v>0.81899999999999995</v>
      </c>
      <c r="BM24" s="5">
        <v>0.7782</v>
      </c>
      <c r="BN24" s="5">
        <v>0.79879999999999995</v>
      </c>
      <c r="BO24" s="5">
        <v>0.80449999999999999</v>
      </c>
      <c r="BP24" s="5">
        <v>0.80179999999999996</v>
      </c>
      <c r="BQ24" s="5">
        <v>0.78710000000000002</v>
      </c>
      <c r="BR24" s="5">
        <v>0.79849999999999999</v>
      </c>
      <c r="BS24" s="5">
        <v>0.81889999999999996</v>
      </c>
      <c r="BT24" s="5">
        <v>0.78069999999999995</v>
      </c>
      <c r="BU24" s="5">
        <v>0.81479999999999997</v>
      </c>
      <c r="BV24" s="5">
        <v>0.80779999999999996</v>
      </c>
      <c r="BW24" s="5">
        <v>0.83109999999999995</v>
      </c>
      <c r="BX24" s="5">
        <v>0.81799999999999995</v>
      </c>
      <c r="BY24" s="5">
        <v>0.77439999999999998</v>
      </c>
      <c r="BZ24" s="5">
        <v>0.79579999999999995</v>
      </c>
      <c r="CA24" s="5">
        <v>0.80269999999999997</v>
      </c>
      <c r="CB24" s="5">
        <v>0.80020000000000002</v>
      </c>
      <c r="CC24" s="5">
        <v>0.7853</v>
      </c>
      <c r="CD24" s="5">
        <v>0.79900000000000004</v>
      </c>
      <c r="CE24" s="5">
        <v>0.81799999999999995</v>
      </c>
      <c r="CF24" s="5">
        <v>0.77980000000000005</v>
      </c>
      <c r="CG24" s="5">
        <v>0.81430000000000002</v>
      </c>
      <c r="CH24" s="5">
        <v>0.80520000000000003</v>
      </c>
      <c r="CI24" s="5">
        <v>0.82920000000000005</v>
      </c>
      <c r="CJ24" s="5">
        <v>0.81540000000000001</v>
      </c>
      <c r="CK24" s="5">
        <v>0.77129999999999999</v>
      </c>
      <c r="CL24" s="5">
        <v>0.79220000000000002</v>
      </c>
      <c r="CM24" s="5">
        <v>0.79930000000000001</v>
      </c>
      <c r="CN24" s="5">
        <v>0.7964</v>
      </c>
      <c r="CO24" s="5">
        <v>0.78180000000000005</v>
      </c>
      <c r="CP24" s="5">
        <v>0.7974</v>
      </c>
      <c r="CQ24" s="5">
        <v>0.81669999999999998</v>
      </c>
      <c r="CR24" s="5">
        <v>0.7782</v>
      </c>
      <c r="CS24" s="5">
        <v>0.81310000000000004</v>
      </c>
      <c r="CT24" s="5">
        <v>0.80159999999999998</v>
      </c>
      <c r="CU24" s="5">
        <v>0.81559999999999999</v>
      </c>
      <c r="CV24" s="5">
        <v>0.81440000000000001</v>
      </c>
      <c r="CW24" s="5">
        <v>0.76719999999999999</v>
      </c>
      <c r="CX24" s="5">
        <v>0.7903</v>
      </c>
      <c r="CY24" s="5">
        <v>0.79590000000000005</v>
      </c>
      <c r="CZ24" s="5">
        <v>0.79300000000000004</v>
      </c>
      <c r="DA24" s="5">
        <v>0.77849999999999997</v>
      </c>
      <c r="DB24" s="5">
        <v>0.79690000000000005</v>
      </c>
      <c r="DC24" s="5">
        <v>0.81689999999999996</v>
      </c>
      <c r="DD24" s="5">
        <v>0.77910000000000001</v>
      </c>
      <c r="DE24" s="5">
        <v>0.8125</v>
      </c>
      <c r="DF24" s="5">
        <v>0.80430000000000001</v>
      </c>
      <c r="DG24" s="5">
        <v>0.82679999999999998</v>
      </c>
      <c r="DH24" s="5">
        <v>0.81389999999999996</v>
      </c>
      <c r="DI24" s="5">
        <v>0.76729999999999998</v>
      </c>
      <c r="DJ24" s="5">
        <v>0.79039999999999999</v>
      </c>
      <c r="DK24" s="5">
        <v>0.79420000000000002</v>
      </c>
      <c r="DL24" s="5">
        <v>0.7893</v>
      </c>
      <c r="DM24" s="5">
        <v>0.7752</v>
      </c>
      <c r="DN24" s="5">
        <v>0.79569999999999996</v>
      </c>
      <c r="DO24" s="5">
        <v>0.81530000000000002</v>
      </c>
      <c r="DP24" s="5">
        <v>0.77680000000000005</v>
      </c>
      <c r="DQ24" s="5">
        <v>0.81259999999999999</v>
      </c>
      <c r="DR24" s="5">
        <v>0.80310000000000004</v>
      </c>
      <c r="DS24" s="5">
        <v>0.8246</v>
      </c>
      <c r="DT24" s="5">
        <v>0.81220000000000003</v>
      </c>
      <c r="DU24" s="5">
        <v>0.76429999999999998</v>
      </c>
      <c r="DV24" s="5">
        <v>0.78890000000000005</v>
      </c>
      <c r="DW24" s="5">
        <v>0.79090000000000005</v>
      </c>
      <c r="DX24" s="5">
        <v>0.78310000000000002</v>
      </c>
      <c r="DY24" s="5">
        <v>0.77049999999999996</v>
      </c>
      <c r="DZ24" s="5">
        <v>0.79359999999999997</v>
      </c>
      <c r="EA24" s="5">
        <v>0.81359999999999999</v>
      </c>
      <c r="EB24" s="5">
        <v>0.77500000000000002</v>
      </c>
      <c r="EC24" s="5">
        <v>0.81130000000000002</v>
      </c>
      <c r="ED24" s="5">
        <v>0.80210000000000004</v>
      </c>
      <c r="EE24" s="5">
        <v>0.82230000000000003</v>
      </c>
      <c r="EF24" s="5">
        <v>0.81059999999999999</v>
      </c>
      <c r="EG24" s="5">
        <v>0.76170000000000004</v>
      </c>
      <c r="EH24" s="5">
        <v>0.7873</v>
      </c>
      <c r="EI24" s="5">
        <v>0.78790000000000004</v>
      </c>
      <c r="EJ24" s="5">
        <v>0.77769999999999995</v>
      </c>
      <c r="EK24" s="5">
        <v>0.76649999999999996</v>
      </c>
      <c r="EL24" s="5">
        <v>0.79149999999999998</v>
      </c>
      <c r="EM24" s="5">
        <v>0.8115</v>
      </c>
      <c r="EN24" s="5">
        <v>0.77359999999999995</v>
      </c>
      <c r="EO24" s="5">
        <v>0.81030000000000002</v>
      </c>
      <c r="EP24" s="5">
        <v>0.79910000000000003</v>
      </c>
      <c r="EQ24" s="5">
        <v>0.80410000000000004</v>
      </c>
      <c r="ER24" s="5">
        <v>0.80959999999999999</v>
      </c>
      <c r="ES24" s="5">
        <v>0.75849999999999995</v>
      </c>
      <c r="ET24" s="5">
        <v>0.78569999999999995</v>
      </c>
      <c r="EU24" s="5">
        <v>0.85740000000000005</v>
      </c>
      <c r="EV24" s="5">
        <v>0.77229999999999999</v>
      </c>
      <c r="EW24" s="5">
        <v>0.7641</v>
      </c>
      <c r="EX24" s="5">
        <v>0.79079999999999995</v>
      </c>
      <c r="EY24" s="5">
        <v>0.81179999999999997</v>
      </c>
      <c r="EZ24" s="5">
        <v>0.77500000000000002</v>
      </c>
      <c r="FA24" s="5">
        <v>0.80979999999999996</v>
      </c>
      <c r="FB24" s="5">
        <v>0.80069999999999997</v>
      </c>
      <c r="FC24" s="5">
        <v>0.8175</v>
      </c>
      <c r="FD24" s="5">
        <v>0.80789999999999995</v>
      </c>
      <c r="FE24" s="5">
        <v>0.75770000000000004</v>
      </c>
      <c r="FF24" s="5">
        <v>0.78459999999999996</v>
      </c>
      <c r="FG24" s="5">
        <v>0.78259999999999996</v>
      </c>
      <c r="FH24" s="5">
        <v>0.76600000000000001</v>
      </c>
      <c r="FI24" s="5">
        <v>0.75980000000000003</v>
      </c>
      <c r="FJ24" s="5">
        <v>0.78749999999999998</v>
      </c>
      <c r="FK24" s="5">
        <v>0.80869999999999997</v>
      </c>
      <c r="FL24" s="5">
        <v>0.77159999999999995</v>
      </c>
      <c r="FM24" s="5">
        <v>0.80879999999999996</v>
      </c>
      <c r="FN24" s="5">
        <v>0.80279999999999996</v>
      </c>
      <c r="FO24" s="5">
        <v>0.81859999999999999</v>
      </c>
      <c r="FP24" s="5">
        <v>0.80869999999999997</v>
      </c>
      <c r="FQ24" s="5">
        <v>0.75460000000000005</v>
      </c>
      <c r="FR24" s="5">
        <v>0.78280000000000005</v>
      </c>
      <c r="FS24" s="5">
        <v>0.78</v>
      </c>
      <c r="FT24" s="5">
        <v>0.75780000000000003</v>
      </c>
      <c r="FU24" s="5">
        <v>0.75680000000000003</v>
      </c>
      <c r="FV24" s="5">
        <v>0.78449999999999998</v>
      </c>
      <c r="FW24" s="5">
        <v>0.80669999999999997</v>
      </c>
      <c r="FX24" s="5">
        <v>0.76959999999999995</v>
      </c>
      <c r="FY24" s="5">
        <v>0.80569999999999997</v>
      </c>
    </row>
    <row r="26" spans="1:181" x14ac:dyDescent="0.3">
      <c r="A26" s="4">
        <v>5</v>
      </c>
      <c r="B26" s="1">
        <v>45292</v>
      </c>
      <c r="C26" s="1">
        <v>45323</v>
      </c>
      <c r="D26" s="1">
        <v>45352</v>
      </c>
      <c r="E26" s="1">
        <v>45383</v>
      </c>
      <c r="F26" s="1">
        <v>45413</v>
      </c>
      <c r="G26" s="1">
        <v>45444</v>
      </c>
      <c r="H26" s="1">
        <v>45474</v>
      </c>
      <c r="I26" s="1">
        <v>45505</v>
      </c>
      <c r="J26" s="1">
        <v>45536</v>
      </c>
      <c r="K26" s="1">
        <v>45566</v>
      </c>
      <c r="L26" s="1">
        <v>45597</v>
      </c>
      <c r="M26" s="1">
        <v>45627</v>
      </c>
      <c r="N26" s="1">
        <v>45658</v>
      </c>
      <c r="O26" s="1">
        <v>45689</v>
      </c>
      <c r="P26" s="1">
        <v>45717</v>
      </c>
      <c r="Q26" s="1">
        <v>45748</v>
      </c>
      <c r="R26" s="1">
        <v>45778</v>
      </c>
      <c r="S26" s="1">
        <v>45809</v>
      </c>
      <c r="T26" s="1">
        <v>45839</v>
      </c>
      <c r="U26" s="1">
        <v>45870</v>
      </c>
      <c r="V26" s="1">
        <v>45901</v>
      </c>
      <c r="W26" s="1">
        <v>45931</v>
      </c>
      <c r="X26" s="1">
        <v>45962</v>
      </c>
      <c r="Y26" s="1">
        <v>45992</v>
      </c>
      <c r="Z26" s="1">
        <v>46023</v>
      </c>
      <c r="AA26" s="1">
        <v>46054</v>
      </c>
      <c r="AB26" s="1">
        <v>46082</v>
      </c>
      <c r="AC26" s="1">
        <v>46113</v>
      </c>
      <c r="AD26" s="1">
        <v>46143</v>
      </c>
      <c r="AE26" s="1">
        <v>46174</v>
      </c>
      <c r="AF26" s="1">
        <v>46204</v>
      </c>
      <c r="AG26" s="1">
        <v>46235</v>
      </c>
      <c r="AH26" s="1">
        <v>46266</v>
      </c>
      <c r="AI26" s="1">
        <v>46296</v>
      </c>
      <c r="AJ26" s="1">
        <v>46327</v>
      </c>
      <c r="AK26" s="1">
        <v>46357</v>
      </c>
      <c r="AL26" s="1">
        <v>46388</v>
      </c>
      <c r="AM26" s="1">
        <v>46419</v>
      </c>
      <c r="AN26" s="1">
        <v>46447</v>
      </c>
      <c r="AO26" s="1">
        <v>46478</v>
      </c>
      <c r="AP26" s="1">
        <v>46508</v>
      </c>
      <c r="AQ26" s="1">
        <v>46539</v>
      </c>
      <c r="AR26" s="1">
        <v>46569</v>
      </c>
      <c r="AS26" s="1">
        <v>46600</v>
      </c>
      <c r="AT26" s="1">
        <v>46631</v>
      </c>
      <c r="AU26" s="1">
        <v>46661</v>
      </c>
      <c r="AV26" s="1">
        <v>46692</v>
      </c>
      <c r="AW26" s="1">
        <v>46722</v>
      </c>
      <c r="AX26" s="1">
        <v>46753</v>
      </c>
      <c r="AY26" s="1">
        <v>46784</v>
      </c>
      <c r="AZ26" s="1">
        <v>46813</v>
      </c>
      <c r="BA26" s="1">
        <v>46844</v>
      </c>
      <c r="BB26" s="1">
        <v>46874</v>
      </c>
      <c r="BC26" s="1">
        <v>46905</v>
      </c>
      <c r="BD26" s="1">
        <v>46935</v>
      </c>
      <c r="BE26" s="1">
        <v>46966</v>
      </c>
      <c r="BF26" s="1">
        <v>46997</v>
      </c>
      <c r="BG26" s="1">
        <v>47027</v>
      </c>
      <c r="BH26" s="1">
        <v>47058</v>
      </c>
      <c r="BI26" s="1">
        <v>47088</v>
      </c>
      <c r="BJ26" s="1">
        <v>47119</v>
      </c>
      <c r="BK26" s="1">
        <v>47150</v>
      </c>
      <c r="BL26" s="1">
        <v>47178</v>
      </c>
      <c r="BM26" s="1">
        <v>47209</v>
      </c>
      <c r="BN26" s="1">
        <v>47239</v>
      </c>
      <c r="BO26" s="1">
        <v>47270</v>
      </c>
      <c r="BP26" s="1">
        <v>47300</v>
      </c>
      <c r="BQ26" s="1">
        <v>47331</v>
      </c>
      <c r="BR26" s="1">
        <v>47362</v>
      </c>
      <c r="BS26" s="1">
        <v>47392</v>
      </c>
      <c r="BT26" s="1">
        <v>47423</v>
      </c>
      <c r="BU26" s="1">
        <v>47453</v>
      </c>
      <c r="BV26" s="1">
        <v>47484</v>
      </c>
      <c r="BW26" s="1">
        <v>47515</v>
      </c>
      <c r="BX26" s="1">
        <v>47543</v>
      </c>
      <c r="BY26" s="1">
        <v>47574</v>
      </c>
      <c r="BZ26" s="1">
        <v>47604</v>
      </c>
      <c r="CA26" s="1">
        <v>47635</v>
      </c>
      <c r="CB26" s="1">
        <v>47665</v>
      </c>
      <c r="CC26" s="1">
        <v>47696</v>
      </c>
      <c r="CD26" s="1">
        <v>47727</v>
      </c>
      <c r="CE26" s="1">
        <v>47757</v>
      </c>
      <c r="CF26" s="1">
        <v>47788</v>
      </c>
      <c r="CG26" s="1">
        <v>47818</v>
      </c>
      <c r="CH26" s="1">
        <v>47849</v>
      </c>
      <c r="CI26" s="1">
        <v>47880</v>
      </c>
      <c r="CJ26" s="1">
        <v>47908</v>
      </c>
      <c r="CK26" s="1">
        <v>47939</v>
      </c>
      <c r="CL26" s="1">
        <v>47969</v>
      </c>
      <c r="CM26" s="1">
        <v>48000</v>
      </c>
      <c r="CN26" s="1">
        <v>48030</v>
      </c>
      <c r="CO26" s="1">
        <v>48061</v>
      </c>
      <c r="CP26" s="1">
        <v>48092</v>
      </c>
      <c r="CQ26" s="1">
        <v>48122</v>
      </c>
      <c r="CR26" s="1">
        <v>48153</v>
      </c>
      <c r="CS26" s="1">
        <v>48183</v>
      </c>
      <c r="CT26" s="1">
        <v>48214</v>
      </c>
      <c r="CU26" s="1">
        <v>48245</v>
      </c>
      <c r="CV26" s="1">
        <v>48274</v>
      </c>
      <c r="CW26" s="1">
        <v>48305</v>
      </c>
      <c r="CX26" s="1">
        <v>48335</v>
      </c>
      <c r="CY26" s="1">
        <v>48366</v>
      </c>
      <c r="CZ26" s="1">
        <v>48396</v>
      </c>
      <c r="DA26" s="1">
        <v>48427</v>
      </c>
      <c r="DB26" s="1">
        <v>48458</v>
      </c>
      <c r="DC26" s="1">
        <v>48488</v>
      </c>
      <c r="DD26" s="1">
        <v>48519</v>
      </c>
      <c r="DE26" s="1">
        <v>48549</v>
      </c>
      <c r="DF26" s="1">
        <v>48580</v>
      </c>
      <c r="DG26" s="1">
        <v>48611</v>
      </c>
      <c r="DH26" s="1">
        <v>48639</v>
      </c>
      <c r="DI26" s="1">
        <v>48670</v>
      </c>
      <c r="DJ26" s="1">
        <v>48700</v>
      </c>
      <c r="DK26" s="1">
        <v>48731</v>
      </c>
      <c r="DL26" s="1">
        <v>48761</v>
      </c>
      <c r="DM26" s="1">
        <v>48792</v>
      </c>
      <c r="DN26" s="1">
        <v>48823</v>
      </c>
      <c r="DO26" s="1">
        <v>48853</v>
      </c>
      <c r="DP26" s="1">
        <v>48884</v>
      </c>
      <c r="DQ26" s="1">
        <v>48914</v>
      </c>
      <c r="DR26" s="1">
        <v>48945</v>
      </c>
      <c r="DS26" s="1">
        <v>48976</v>
      </c>
      <c r="DT26" s="1">
        <v>49004</v>
      </c>
      <c r="DU26" s="1">
        <v>49035</v>
      </c>
      <c r="DV26" s="1">
        <v>49065</v>
      </c>
      <c r="DW26" s="1">
        <v>49096</v>
      </c>
      <c r="DX26" s="1">
        <v>49126</v>
      </c>
      <c r="DY26" s="1">
        <v>49157</v>
      </c>
      <c r="DZ26" s="1">
        <v>49188</v>
      </c>
      <c r="EA26" s="1">
        <v>49218</v>
      </c>
      <c r="EB26" s="1">
        <v>49249</v>
      </c>
      <c r="EC26" s="1">
        <v>49279</v>
      </c>
      <c r="ED26" s="1">
        <v>49310</v>
      </c>
      <c r="EE26" s="1">
        <v>49341</v>
      </c>
      <c r="EF26" s="1">
        <v>49369</v>
      </c>
      <c r="EG26" s="1">
        <v>49400</v>
      </c>
      <c r="EH26" s="1">
        <v>49430</v>
      </c>
      <c r="EI26" s="1">
        <v>49461</v>
      </c>
      <c r="EJ26" s="1">
        <v>49491</v>
      </c>
      <c r="EK26" s="1">
        <v>49522</v>
      </c>
      <c r="EL26" s="1">
        <v>49553</v>
      </c>
      <c r="EM26" s="1">
        <v>49583</v>
      </c>
      <c r="EN26" s="1">
        <v>49614</v>
      </c>
      <c r="EO26" s="1">
        <v>49644</v>
      </c>
      <c r="EP26" s="1">
        <v>49675</v>
      </c>
      <c r="EQ26" s="1">
        <v>49706</v>
      </c>
      <c r="ER26" s="1">
        <v>49735</v>
      </c>
      <c r="ES26" s="1">
        <v>49766</v>
      </c>
      <c r="ET26" s="1">
        <v>49796</v>
      </c>
      <c r="EU26" s="1">
        <v>49827</v>
      </c>
      <c r="EV26" s="1">
        <v>49857</v>
      </c>
      <c r="EW26" s="1">
        <v>49888</v>
      </c>
      <c r="EX26" s="1">
        <v>49919</v>
      </c>
      <c r="EY26" s="1">
        <v>49949</v>
      </c>
      <c r="EZ26" s="1">
        <v>49980</v>
      </c>
      <c r="FA26" s="1">
        <v>50010</v>
      </c>
      <c r="FB26" s="1">
        <v>50041</v>
      </c>
      <c r="FC26" s="1">
        <v>50072</v>
      </c>
      <c r="FD26" s="1">
        <v>50100</v>
      </c>
      <c r="FE26" s="1">
        <v>50131</v>
      </c>
      <c r="FF26" s="1">
        <v>50161</v>
      </c>
      <c r="FG26" s="1">
        <v>50192</v>
      </c>
      <c r="FH26" s="1">
        <v>50222</v>
      </c>
      <c r="FI26" s="1">
        <v>50253</v>
      </c>
      <c r="FJ26" s="1">
        <v>50284</v>
      </c>
      <c r="FK26" s="1">
        <v>50314</v>
      </c>
      <c r="FL26" s="1">
        <v>50345</v>
      </c>
      <c r="FM26" s="1">
        <v>50375</v>
      </c>
      <c r="FN26" s="1">
        <v>50406</v>
      </c>
      <c r="FO26" s="1">
        <v>50437</v>
      </c>
      <c r="FP26" s="1">
        <v>50465</v>
      </c>
      <c r="FQ26" s="1">
        <v>50496</v>
      </c>
      <c r="FR26" s="1">
        <v>50526</v>
      </c>
      <c r="FS26" s="1">
        <v>50557</v>
      </c>
      <c r="FT26" s="1">
        <v>50587</v>
      </c>
      <c r="FU26" s="1">
        <v>50618</v>
      </c>
      <c r="FV26" s="1">
        <v>50649</v>
      </c>
      <c r="FW26" s="1">
        <v>50679</v>
      </c>
      <c r="FX26" s="1">
        <v>50710</v>
      </c>
      <c r="FY26" s="1">
        <v>50740</v>
      </c>
    </row>
    <row r="27" spans="1:181" x14ac:dyDescent="0.3">
      <c r="A27" s="2">
        <v>1</v>
      </c>
      <c r="B27" s="3">
        <v>1.1685000000000001</v>
      </c>
      <c r="C27" s="3">
        <v>1.1567000000000001</v>
      </c>
      <c r="D27" s="3">
        <v>1.155</v>
      </c>
      <c r="E27" s="3">
        <v>1.1855</v>
      </c>
      <c r="F27" s="3">
        <v>1.2730999999999999</v>
      </c>
      <c r="G27" s="3">
        <v>1.2491000000000001</v>
      </c>
      <c r="H27" s="3">
        <v>1.242</v>
      </c>
      <c r="I27" s="3">
        <v>1.2343999999999999</v>
      </c>
      <c r="J27" s="3">
        <v>1.1935</v>
      </c>
      <c r="K27" s="3">
        <v>1.1619999999999999</v>
      </c>
      <c r="L27" s="3">
        <v>1.2078</v>
      </c>
      <c r="M27" s="3">
        <v>1.1911</v>
      </c>
      <c r="N27" s="3">
        <v>1.1675</v>
      </c>
      <c r="O27" s="3">
        <v>1.1477999999999999</v>
      </c>
      <c r="P27" s="3">
        <v>1.1628000000000001</v>
      </c>
      <c r="Q27" s="3">
        <v>1.1850000000000001</v>
      </c>
      <c r="R27" s="3">
        <v>1.2722</v>
      </c>
      <c r="S27" s="3">
        <v>1.2491000000000001</v>
      </c>
      <c r="T27" s="3">
        <v>1.2421</v>
      </c>
      <c r="U27" s="3">
        <v>1.2343999999999999</v>
      </c>
      <c r="V27" s="3">
        <v>1.1931</v>
      </c>
      <c r="W27" s="3">
        <v>1.1613</v>
      </c>
      <c r="X27" s="3">
        <v>1.2068000000000001</v>
      </c>
      <c r="Y27" s="3">
        <v>1.1904999999999999</v>
      </c>
      <c r="Z27" s="3">
        <v>1.1667000000000001</v>
      </c>
      <c r="AA27" s="3">
        <v>1.1478999999999999</v>
      </c>
      <c r="AB27" s="3">
        <v>1.1627000000000001</v>
      </c>
      <c r="AC27" s="3">
        <v>1.1848000000000001</v>
      </c>
      <c r="AD27" s="3">
        <v>1.2717000000000001</v>
      </c>
      <c r="AE27" s="3">
        <v>1.2492000000000001</v>
      </c>
      <c r="AF27" s="3">
        <v>1.2424999999999999</v>
      </c>
      <c r="AG27" s="3">
        <v>1.2345999999999999</v>
      </c>
      <c r="AH27" s="3">
        <v>1.1928000000000001</v>
      </c>
      <c r="AI27" s="3">
        <v>1.161</v>
      </c>
      <c r="AJ27" s="3">
        <v>1.2063999999999999</v>
      </c>
      <c r="AK27" s="3">
        <v>1.1902999999999999</v>
      </c>
      <c r="AL27" s="3">
        <v>1.1657</v>
      </c>
      <c r="AM27" s="3">
        <v>1.1469</v>
      </c>
      <c r="AN27" s="3">
        <v>1.1617999999999999</v>
      </c>
      <c r="AO27" s="3">
        <v>1.1841999999999999</v>
      </c>
      <c r="AP27" s="3">
        <v>1.2708999999999999</v>
      </c>
      <c r="AQ27" s="3">
        <v>1.2492000000000001</v>
      </c>
      <c r="AR27" s="3">
        <v>1.2424999999999999</v>
      </c>
      <c r="AS27" s="3">
        <v>1.2345999999999999</v>
      </c>
      <c r="AT27" s="3">
        <v>1.1923999999999999</v>
      </c>
      <c r="AU27" s="3">
        <v>1.1600999999999999</v>
      </c>
      <c r="AV27" s="3">
        <v>1.2052</v>
      </c>
      <c r="AW27" s="3">
        <v>1.1894</v>
      </c>
      <c r="AX27" s="3">
        <v>1.1783999999999999</v>
      </c>
      <c r="AY27" s="3">
        <v>1.1526000000000001</v>
      </c>
      <c r="AZ27" s="3">
        <v>1.1520999999999999</v>
      </c>
      <c r="BA27" s="3">
        <v>1.1834</v>
      </c>
      <c r="BB27" s="3">
        <v>1.2702</v>
      </c>
      <c r="BC27" s="3">
        <v>1.2494000000000001</v>
      </c>
      <c r="BD27" s="3">
        <v>1.2425999999999999</v>
      </c>
      <c r="BE27" s="3">
        <v>1.2347999999999999</v>
      </c>
      <c r="BF27" s="3">
        <v>1.1919</v>
      </c>
      <c r="BG27" s="3">
        <v>1.1591</v>
      </c>
      <c r="BH27" s="3">
        <v>1.2038</v>
      </c>
      <c r="BI27" s="3">
        <v>1.1883999999999999</v>
      </c>
      <c r="BJ27" s="3">
        <v>1.1771</v>
      </c>
      <c r="BK27" s="3">
        <v>1.1445000000000001</v>
      </c>
      <c r="BL27" s="3">
        <v>1.1598999999999999</v>
      </c>
      <c r="BM27" s="3">
        <v>1.1825000000000001</v>
      </c>
      <c r="BN27" s="3">
        <v>1.2685</v>
      </c>
      <c r="BO27" s="3">
        <v>1.2494000000000001</v>
      </c>
      <c r="BP27" s="3">
        <v>1.2428999999999999</v>
      </c>
      <c r="BQ27" s="3">
        <v>1.2349000000000001</v>
      </c>
      <c r="BR27" s="3">
        <v>1.1913</v>
      </c>
      <c r="BS27" s="3">
        <v>1.1579999999999999</v>
      </c>
      <c r="BT27" s="3">
        <v>1.2017</v>
      </c>
      <c r="BU27" s="3">
        <v>1.1873</v>
      </c>
      <c r="BV27" s="3">
        <v>1.1757</v>
      </c>
      <c r="BW27" s="3">
        <v>1.1429</v>
      </c>
      <c r="BX27" s="3">
        <v>1.1587000000000001</v>
      </c>
      <c r="BY27" s="3">
        <v>1.1815</v>
      </c>
      <c r="BZ27" s="3">
        <v>1.2673000000000001</v>
      </c>
      <c r="CA27" s="3">
        <v>1.2494000000000001</v>
      </c>
      <c r="CB27" s="3">
        <v>1.2428999999999999</v>
      </c>
      <c r="CC27" s="3">
        <v>1.2349000000000001</v>
      </c>
      <c r="CD27" s="3">
        <v>1.1906000000000001</v>
      </c>
      <c r="CE27" s="3">
        <v>1.1566000000000001</v>
      </c>
      <c r="CF27" s="3">
        <v>1.1997</v>
      </c>
      <c r="CG27" s="3">
        <v>1.1859999999999999</v>
      </c>
      <c r="CH27" s="3">
        <v>1.1740999999999999</v>
      </c>
      <c r="CI27" s="3">
        <v>1.1411</v>
      </c>
      <c r="CJ27" s="3">
        <v>1.1571</v>
      </c>
      <c r="CK27" s="3">
        <v>1.1800999999999999</v>
      </c>
      <c r="CL27" s="3">
        <v>1.2657</v>
      </c>
      <c r="CM27" s="3">
        <v>1.2494000000000001</v>
      </c>
      <c r="CN27" s="3">
        <v>1.2428999999999999</v>
      </c>
      <c r="CO27" s="3">
        <v>1.2349000000000001</v>
      </c>
      <c r="CP27" s="3">
        <v>1.1897</v>
      </c>
      <c r="CQ27" s="3">
        <v>1.1551</v>
      </c>
      <c r="CR27" s="3">
        <v>1.218</v>
      </c>
      <c r="CS27" s="3">
        <v>1.1843999999999999</v>
      </c>
      <c r="CT27" s="3">
        <v>1.1725000000000001</v>
      </c>
      <c r="CU27" s="3">
        <v>1.1451</v>
      </c>
      <c r="CV27" s="3">
        <v>1.1472</v>
      </c>
      <c r="CW27" s="3">
        <v>1.1789000000000001</v>
      </c>
      <c r="CX27" s="3">
        <v>1.2643</v>
      </c>
      <c r="CY27" s="3">
        <v>1.2497</v>
      </c>
      <c r="CZ27" s="3">
        <v>1.2432000000000001</v>
      </c>
      <c r="DA27" s="3">
        <v>1.2351000000000001</v>
      </c>
      <c r="DB27" s="3">
        <v>1.1889000000000001</v>
      </c>
      <c r="DC27" s="3">
        <v>1.1536</v>
      </c>
      <c r="DD27" s="3">
        <v>1.2163999999999999</v>
      </c>
      <c r="DE27" s="3">
        <v>1.1830000000000001</v>
      </c>
      <c r="DF27" s="3">
        <v>1.1709000000000001</v>
      </c>
      <c r="DG27" s="3">
        <v>1.1373</v>
      </c>
      <c r="DH27" s="3">
        <v>1.1539999999999999</v>
      </c>
      <c r="DI27" s="3">
        <v>1.1773</v>
      </c>
      <c r="DJ27" s="3">
        <v>1.2624</v>
      </c>
      <c r="DK27" s="3">
        <v>1.2495000000000001</v>
      </c>
      <c r="DL27" s="3">
        <v>1.2430000000000001</v>
      </c>
      <c r="DM27" s="3">
        <v>1.2350000000000001</v>
      </c>
      <c r="DN27" s="3">
        <v>1.1878</v>
      </c>
      <c r="DO27" s="3">
        <v>1.1517999999999999</v>
      </c>
      <c r="DP27" s="3">
        <v>1.2142999999999999</v>
      </c>
      <c r="DQ27" s="3">
        <v>1.1813</v>
      </c>
      <c r="DR27" s="3">
        <v>1.1691</v>
      </c>
      <c r="DS27" s="3">
        <v>1.1352</v>
      </c>
      <c r="DT27" s="3">
        <v>1.1521999999999999</v>
      </c>
      <c r="DU27" s="3">
        <v>1.1757</v>
      </c>
      <c r="DV27" s="3">
        <v>1.2605999999999999</v>
      </c>
      <c r="DW27" s="3">
        <v>1.2496</v>
      </c>
      <c r="DX27" s="3">
        <v>1.2430000000000001</v>
      </c>
      <c r="DY27" s="3">
        <v>1.2350000000000001</v>
      </c>
      <c r="DZ27" s="3">
        <v>1.1867000000000001</v>
      </c>
      <c r="EA27" s="3">
        <v>1.1500999999999999</v>
      </c>
      <c r="EB27" s="3">
        <v>1.2121999999999999</v>
      </c>
      <c r="EC27" s="3">
        <v>1.1795</v>
      </c>
      <c r="ED27" s="3">
        <v>1.1673</v>
      </c>
      <c r="EE27" s="3">
        <v>1.1331</v>
      </c>
      <c r="EF27" s="3">
        <v>1.1504000000000001</v>
      </c>
      <c r="EG27" s="3">
        <v>1.1740999999999999</v>
      </c>
      <c r="EH27" s="3">
        <v>1.2587999999999999</v>
      </c>
      <c r="EI27" s="3">
        <v>1.2496</v>
      </c>
      <c r="EJ27" s="3">
        <v>1.2430000000000001</v>
      </c>
      <c r="EK27" s="3">
        <v>1.2350000000000001</v>
      </c>
      <c r="EL27" s="3">
        <v>1.1855</v>
      </c>
      <c r="EM27" s="3">
        <v>1.1483000000000001</v>
      </c>
      <c r="EN27" s="3">
        <v>1.2101999999999999</v>
      </c>
      <c r="EO27" s="3">
        <v>1.1922999999999999</v>
      </c>
      <c r="EP27" s="3">
        <v>1.1654</v>
      </c>
      <c r="EQ27" s="3">
        <v>1.1623000000000001</v>
      </c>
      <c r="ER27" s="3">
        <v>1.1411</v>
      </c>
      <c r="ES27" s="3">
        <v>1.1724000000000001</v>
      </c>
      <c r="ET27" s="3">
        <v>1.2568999999999999</v>
      </c>
      <c r="EU27" s="3">
        <v>1.2499</v>
      </c>
      <c r="EV27" s="3">
        <v>1.2432000000000001</v>
      </c>
      <c r="EW27" s="3">
        <v>1.2352000000000001</v>
      </c>
      <c r="EX27" s="3">
        <v>1.1842999999999999</v>
      </c>
      <c r="EY27" s="3">
        <v>1.1465000000000001</v>
      </c>
      <c r="EZ27" s="3">
        <v>1.208</v>
      </c>
      <c r="FA27" s="3">
        <v>1.1907000000000001</v>
      </c>
      <c r="FB27" s="3">
        <v>1.1635</v>
      </c>
      <c r="FC27" s="3">
        <v>1.1286</v>
      </c>
      <c r="FD27" s="3">
        <v>1.1468</v>
      </c>
      <c r="FE27" s="3">
        <v>1.1706000000000001</v>
      </c>
      <c r="FF27" s="3">
        <v>1.2546999999999999</v>
      </c>
      <c r="FG27" s="3">
        <v>1.2497</v>
      </c>
      <c r="FH27" s="3">
        <v>1.2431000000000001</v>
      </c>
      <c r="FI27" s="3">
        <v>1.2350000000000001</v>
      </c>
      <c r="FJ27" s="3">
        <v>1.1830000000000001</v>
      </c>
      <c r="FK27" s="3">
        <v>1.1445000000000001</v>
      </c>
      <c r="FL27" s="3">
        <v>1.2056</v>
      </c>
      <c r="FM27" s="3">
        <v>1.1889000000000001</v>
      </c>
      <c r="FN27" s="3">
        <v>1.1616</v>
      </c>
      <c r="FO27" s="3">
        <v>1.1266</v>
      </c>
      <c r="FP27" s="3">
        <v>1.1451</v>
      </c>
      <c r="FQ27" s="3">
        <v>1.1691</v>
      </c>
      <c r="FR27" s="3">
        <v>1.2528999999999999</v>
      </c>
      <c r="FS27" s="3">
        <v>1.2498</v>
      </c>
      <c r="FT27" s="3">
        <v>1.2432000000000001</v>
      </c>
      <c r="FU27" s="3">
        <v>1.2351000000000001</v>
      </c>
      <c r="FV27" s="3">
        <v>1.1818</v>
      </c>
      <c r="FW27" s="3">
        <v>1.1428</v>
      </c>
      <c r="FX27" s="3">
        <v>1.2036</v>
      </c>
      <c r="FY27" s="3">
        <v>1.1874</v>
      </c>
    </row>
    <row r="28" spans="1:181" x14ac:dyDescent="0.3">
      <c r="A28" s="2">
        <v>2</v>
      </c>
      <c r="B28" s="5">
        <v>1.1082000000000001</v>
      </c>
      <c r="C28" s="5">
        <v>1.0678000000000001</v>
      </c>
      <c r="D28" s="5">
        <v>1.0984</v>
      </c>
      <c r="E28" s="5">
        <v>1.1123000000000001</v>
      </c>
      <c r="F28" s="5">
        <v>1.1560999999999999</v>
      </c>
      <c r="G28" s="5">
        <v>1.127</v>
      </c>
      <c r="H28" s="5">
        <v>1.1217999999999999</v>
      </c>
      <c r="I28" s="5">
        <v>1.1316999999999999</v>
      </c>
      <c r="J28" s="5">
        <v>1.0976999999999999</v>
      </c>
      <c r="K28" s="5">
        <v>1.0987</v>
      </c>
      <c r="L28" s="5">
        <v>1.0851999999999999</v>
      </c>
      <c r="M28" s="5">
        <v>1.0934999999999999</v>
      </c>
      <c r="N28" s="5">
        <v>1.0920000000000001</v>
      </c>
      <c r="O28" s="5">
        <v>1.0464</v>
      </c>
      <c r="P28" s="5">
        <v>1.0954999999999999</v>
      </c>
      <c r="Q28" s="5">
        <v>1.1023000000000001</v>
      </c>
      <c r="R28" s="5">
        <v>1.1465000000000001</v>
      </c>
      <c r="S28" s="5">
        <v>1.1217999999999999</v>
      </c>
      <c r="T28" s="5">
        <v>1.1176999999999999</v>
      </c>
      <c r="U28" s="5">
        <v>1.1271</v>
      </c>
      <c r="V28" s="5">
        <v>1.0923</v>
      </c>
      <c r="W28" s="5">
        <v>1.0928</v>
      </c>
      <c r="X28" s="5">
        <v>1.0790999999999999</v>
      </c>
      <c r="Y28" s="5">
        <v>1.0874999999999999</v>
      </c>
      <c r="Z28" s="5">
        <v>1.081</v>
      </c>
      <c r="AA28" s="5">
        <v>1.0419</v>
      </c>
      <c r="AB28" s="5">
        <v>1.0903</v>
      </c>
      <c r="AC28" s="5">
        <v>1.0986</v>
      </c>
      <c r="AD28" s="5">
        <v>1.1429</v>
      </c>
      <c r="AE28" s="5">
        <v>1.1200000000000001</v>
      </c>
      <c r="AF28" s="5">
        <v>1.1168</v>
      </c>
      <c r="AG28" s="5">
        <v>1.1252</v>
      </c>
      <c r="AH28" s="5">
        <v>1.0899000000000001</v>
      </c>
      <c r="AI28" s="5">
        <v>1.0898000000000001</v>
      </c>
      <c r="AJ28" s="5">
        <v>1.0762</v>
      </c>
      <c r="AK28" s="5">
        <v>1.0841000000000001</v>
      </c>
      <c r="AL28" s="5">
        <v>1.0786</v>
      </c>
      <c r="AM28" s="5">
        <v>1.0409999999999999</v>
      </c>
      <c r="AN28" s="5">
        <v>1.0887</v>
      </c>
      <c r="AO28" s="5">
        <v>1.0973999999999999</v>
      </c>
      <c r="AP28" s="5">
        <v>1.1414</v>
      </c>
      <c r="AQ28" s="5">
        <v>1.1194999999999999</v>
      </c>
      <c r="AR28" s="5">
        <v>1.1166</v>
      </c>
      <c r="AS28" s="5">
        <v>1.1245000000000001</v>
      </c>
      <c r="AT28" s="5">
        <v>1.0891</v>
      </c>
      <c r="AU28" s="5">
        <v>1.0887</v>
      </c>
      <c r="AV28" s="5">
        <v>1.0753999999999999</v>
      </c>
      <c r="AW28" s="5">
        <v>1.0832999999999999</v>
      </c>
      <c r="AX28" s="5">
        <v>1.0766</v>
      </c>
      <c r="AY28" s="5">
        <v>1.0511999999999999</v>
      </c>
      <c r="AZ28" s="5">
        <v>1.0771999999999999</v>
      </c>
      <c r="BA28" s="5">
        <v>1.097</v>
      </c>
      <c r="BB28" s="5">
        <v>1.1406000000000001</v>
      </c>
      <c r="BC28" s="5">
        <v>1.1191</v>
      </c>
      <c r="BD28" s="5">
        <v>1.1168</v>
      </c>
      <c r="BE28" s="5">
        <v>1.1243000000000001</v>
      </c>
      <c r="BF28" s="5">
        <v>1.0889</v>
      </c>
      <c r="BG28" s="5">
        <v>1.0884</v>
      </c>
      <c r="BH28" s="5">
        <v>1.075</v>
      </c>
      <c r="BI28" s="5">
        <v>1.0829</v>
      </c>
      <c r="BJ28" s="5">
        <v>1.0758000000000001</v>
      </c>
      <c r="BK28" s="5">
        <v>1.0407999999999999</v>
      </c>
      <c r="BL28" s="5">
        <v>1.0874999999999999</v>
      </c>
      <c r="BM28" s="5">
        <v>1.0965</v>
      </c>
      <c r="BN28" s="5">
        <v>1.1395999999999999</v>
      </c>
      <c r="BO28" s="5">
        <v>1.1191</v>
      </c>
      <c r="BP28" s="5">
        <v>1.1167</v>
      </c>
      <c r="BQ28" s="5">
        <v>1.1237999999999999</v>
      </c>
      <c r="BR28" s="5">
        <v>1.0885</v>
      </c>
      <c r="BS28" s="5">
        <v>1.0879000000000001</v>
      </c>
      <c r="BT28" s="5">
        <v>1.0745</v>
      </c>
      <c r="BU28" s="5">
        <v>1.0823</v>
      </c>
      <c r="BV28" s="5">
        <v>1.0749</v>
      </c>
      <c r="BW28" s="5">
        <v>1.0408999999999999</v>
      </c>
      <c r="BX28" s="5">
        <v>1.0868</v>
      </c>
      <c r="BY28" s="5">
        <v>1.0960000000000001</v>
      </c>
      <c r="BZ28" s="5">
        <v>1.1387</v>
      </c>
      <c r="CA28" s="5">
        <v>1.1189</v>
      </c>
      <c r="CB28" s="5">
        <v>1.1167</v>
      </c>
      <c r="CC28" s="5">
        <v>1.1234</v>
      </c>
      <c r="CD28" s="5">
        <v>1.0882000000000001</v>
      </c>
      <c r="CE28" s="5">
        <v>1.0873999999999999</v>
      </c>
      <c r="CF28" s="5">
        <v>1.0740000000000001</v>
      </c>
      <c r="CG28" s="5">
        <v>1.0819000000000001</v>
      </c>
      <c r="CH28" s="5">
        <v>1.0740000000000001</v>
      </c>
      <c r="CI28" s="5">
        <v>1.0407999999999999</v>
      </c>
      <c r="CJ28" s="5">
        <v>1.0863</v>
      </c>
      <c r="CK28" s="5">
        <v>1.0956999999999999</v>
      </c>
      <c r="CL28" s="5">
        <v>1.1377999999999999</v>
      </c>
      <c r="CM28" s="5">
        <v>1.1193</v>
      </c>
      <c r="CN28" s="5">
        <v>1.1168</v>
      </c>
      <c r="CO28" s="5">
        <v>1.1234</v>
      </c>
      <c r="CP28" s="5">
        <v>1.0881000000000001</v>
      </c>
      <c r="CQ28" s="5">
        <v>1.0872999999999999</v>
      </c>
      <c r="CR28" s="5">
        <v>1.0731999999999999</v>
      </c>
      <c r="CS28" s="5">
        <v>1.0818000000000001</v>
      </c>
      <c r="CT28" s="5">
        <v>1.0743</v>
      </c>
      <c r="CU28" s="5">
        <v>1.0508999999999999</v>
      </c>
      <c r="CV28" s="5">
        <v>1.0759000000000001</v>
      </c>
      <c r="CW28" s="5">
        <v>1.0959000000000001</v>
      </c>
      <c r="CX28" s="5">
        <v>1.1375</v>
      </c>
      <c r="CY28" s="5">
        <v>1.1197999999999999</v>
      </c>
      <c r="CZ28" s="5">
        <v>1.117</v>
      </c>
      <c r="DA28" s="5">
        <v>1.1234</v>
      </c>
      <c r="DB28" s="5">
        <v>1.0880000000000001</v>
      </c>
      <c r="DC28" s="5">
        <v>1.0872999999999999</v>
      </c>
      <c r="DD28" s="5">
        <v>1.0736000000000001</v>
      </c>
      <c r="DE28" s="5">
        <v>1.0820000000000001</v>
      </c>
      <c r="DF28" s="5">
        <v>1.0739000000000001</v>
      </c>
      <c r="DG28" s="5">
        <v>1.0414000000000001</v>
      </c>
      <c r="DH28" s="5">
        <v>1.0865</v>
      </c>
      <c r="DI28" s="5">
        <v>1.0959000000000001</v>
      </c>
      <c r="DJ28" s="5">
        <v>1.1369</v>
      </c>
      <c r="DK28" s="5">
        <v>1.1202000000000001</v>
      </c>
      <c r="DL28" s="5">
        <v>1.1169</v>
      </c>
      <c r="DM28" s="5">
        <v>1.1234</v>
      </c>
      <c r="DN28" s="5">
        <v>1.0876999999999999</v>
      </c>
      <c r="DO28" s="5">
        <v>1.0871999999999999</v>
      </c>
      <c r="DP28" s="5">
        <v>1.0736000000000001</v>
      </c>
      <c r="DQ28" s="5">
        <v>1.0820000000000001</v>
      </c>
      <c r="DR28" s="5">
        <v>1.0742</v>
      </c>
      <c r="DS28" s="5">
        <v>1.0415000000000001</v>
      </c>
      <c r="DT28" s="5">
        <v>1.0867</v>
      </c>
      <c r="DU28" s="5">
        <v>1.0959000000000001</v>
      </c>
      <c r="DV28" s="5">
        <v>1.1364000000000001</v>
      </c>
      <c r="DW28" s="5">
        <v>1.1208</v>
      </c>
      <c r="DX28" s="5">
        <v>1.117</v>
      </c>
      <c r="DY28" s="5">
        <v>1.1234</v>
      </c>
      <c r="DZ28" s="5">
        <v>1.0872999999999999</v>
      </c>
      <c r="EA28" s="5">
        <v>1.0871</v>
      </c>
      <c r="EB28" s="5">
        <v>1.0737000000000001</v>
      </c>
      <c r="EC28" s="5">
        <v>1.0820000000000001</v>
      </c>
      <c r="ED28" s="5">
        <v>1.0745</v>
      </c>
      <c r="EE28" s="5">
        <v>1.0419</v>
      </c>
      <c r="EF28" s="5">
        <v>1.0867</v>
      </c>
      <c r="EG28" s="5">
        <v>1.0958000000000001</v>
      </c>
      <c r="EH28" s="5">
        <v>1.1358999999999999</v>
      </c>
      <c r="EI28" s="5">
        <v>1.1215999999999999</v>
      </c>
      <c r="EJ28" s="5">
        <v>1.1172</v>
      </c>
      <c r="EK28" s="5">
        <v>1.1235999999999999</v>
      </c>
      <c r="EL28" s="5">
        <v>1.0871</v>
      </c>
      <c r="EM28" s="5">
        <v>1.087</v>
      </c>
      <c r="EN28" s="5">
        <v>1.0740000000000001</v>
      </c>
      <c r="EO28" s="5">
        <v>1.0814999999999999</v>
      </c>
      <c r="EP28" s="5">
        <v>1.075</v>
      </c>
      <c r="EQ28" s="5">
        <v>1.0510999999999999</v>
      </c>
      <c r="ER28" s="5">
        <v>1.0765</v>
      </c>
      <c r="ES28" s="5">
        <v>1.0959000000000001</v>
      </c>
      <c r="ET28" s="5">
        <v>1.1354</v>
      </c>
      <c r="EU28" s="5">
        <v>1.1637999999999999</v>
      </c>
      <c r="EV28" s="5">
        <v>1.1174999999999999</v>
      </c>
      <c r="EW28" s="5">
        <v>1.1235999999999999</v>
      </c>
      <c r="EX28" s="5">
        <v>1.087</v>
      </c>
      <c r="EY28" s="5">
        <v>1.087</v>
      </c>
      <c r="EZ28" s="5">
        <v>1.0742</v>
      </c>
      <c r="FA28" s="5">
        <v>1.0815999999999999</v>
      </c>
      <c r="FB28" s="5">
        <v>1.075</v>
      </c>
      <c r="FC28" s="5">
        <v>1.0424</v>
      </c>
      <c r="FD28" s="5">
        <v>1.0867</v>
      </c>
      <c r="FE28" s="5">
        <v>1.0958000000000001</v>
      </c>
      <c r="FF28" s="5">
        <v>1.1348</v>
      </c>
      <c r="FG28" s="5">
        <v>1.1228</v>
      </c>
      <c r="FH28" s="5">
        <v>1.1177999999999999</v>
      </c>
      <c r="FI28" s="5">
        <v>1.1231</v>
      </c>
      <c r="FJ28" s="5">
        <v>1.0865</v>
      </c>
      <c r="FK28" s="5">
        <v>1.0867</v>
      </c>
      <c r="FL28" s="5">
        <v>1.0742</v>
      </c>
      <c r="FM28" s="5">
        <v>1.0814999999999999</v>
      </c>
      <c r="FN28" s="5">
        <v>1.0750999999999999</v>
      </c>
      <c r="FO28" s="5">
        <v>1.0425</v>
      </c>
      <c r="FP28" s="5">
        <v>1.0867</v>
      </c>
      <c r="FQ28" s="5">
        <v>1.0956999999999999</v>
      </c>
      <c r="FR28" s="5">
        <v>1.1343000000000001</v>
      </c>
      <c r="FS28" s="5">
        <v>1.1235999999999999</v>
      </c>
      <c r="FT28" s="5">
        <v>1.1181000000000001</v>
      </c>
      <c r="FU28" s="5">
        <v>1.1234</v>
      </c>
      <c r="FV28" s="5">
        <v>1.0861000000000001</v>
      </c>
      <c r="FW28" s="5">
        <v>1.0865</v>
      </c>
      <c r="FX28" s="5">
        <v>1.0742</v>
      </c>
      <c r="FY28" s="5">
        <v>1.0813999999999999</v>
      </c>
    </row>
    <row r="29" spans="1:181" x14ac:dyDescent="0.3">
      <c r="A29" s="2">
        <v>3</v>
      </c>
      <c r="B29" s="5">
        <v>0.97030000000000005</v>
      </c>
      <c r="C29" s="5">
        <v>0.9698</v>
      </c>
      <c r="D29" s="5">
        <v>0.9718</v>
      </c>
      <c r="E29" s="5">
        <v>0.96150000000000002</v>
      </c>
      <c r="F29" s="5">
        <v>0.9798</v>
      </c>
      <c r="G29" s="5">
        <v>0.95530000000000004</v>
      </c>
      <c r="H29" s="5">
        <v>0.95809999999999995</v>
      </c>
      <c r="I29" s="5">
        <v>0.95509999999999995</v>
      </c>
      <c r="J29" s="5">
        <v>0.96519999999999995</v>
      </c>
      <c r="K29" s="5">
        <v>0.96609999999999996</v>
      </c>
      <c r="L29" s="5">
        <v>0.9718</v>
      </c>
      <c r="M29" s="5">
        <v>0.97430000000000005</v>
      </c>
      <c r="N29" s="5">
        <v>0.9748</v>
      </c>
      <c r="O29" s="5">
        <v>0.97640000000000005</v>
      </c>
      <c r="P29" s="5">
        <v>0.96799999999999997</v>
      </c>
      <c r="Q29" s="5">
        <v>0.95889999999999997</v>
      </c>
      <c r="R29" s="5">
        <v>0.95450000000000002</v>
      </c>
      <c r="S29" s="5">
        <v>0.95050000000000001</v>
      </c>
      <c r="T29" s="5">
        <v>0.95250000000000001</v>
      </c>
      <c r="U29" s="5">
        <v>0.95089999999999997</v>
      </c>
      <c r="V29" s="5">
        <v>0.96450000000000002</v>
      </c>
      <c r="W29" s="5">
        <v>0.96360000000000001</v>
      </c>
      <c r="X29" s="5">
        <v>0.97189999999999999</v>
      </c>
      <c r="Y29" s="5">
        <v>0.9738</v>
      </c>
      <c r="Z29" s="5">
        <v>0.97750000000000004</v>
      </c>
      <c r="AA29" s="5">
        <v>0.97540000000000004</v>
      </c>
      <c r="AB29" s="5">
        <v>0.96819999999999995</v>
      </c>
      <c r="AC29" s="5">
        <v>0.9587</v>
      </c>
      <c r="AD29" s="5">
        <v>0.95009999999999994</v>
      </c>
      <c r="AE29" s="5">
        <v>0.94820000000000004</v>
      </c>
      <c r="AF29" s="5">
        <v>0.94920000000000004</v>
      </c>
      <c r="AG29" s="5">
        <v>0.94830000000000003</v>
      </c>
      <c r="AH29" s="5">
        <v>0.96330000000000005</v>
      </c>
      <c r="AI29" s="5">
        <v>0.96199999999999997</v>
      </c>
      <c r="AJ29" s="5">
        <v>0.97170000000000001</v>
      </c>
      <c r="AK29" s="5">
        <v>0.97340000000000004</v>
      </c>
      <c r="AL29" s="5">
        <v>0.97809999999999997</v>
      </c>
      <c r="AM29" s="5">
        <v>0.97450000000000003</v>
      </c>
      <c r="AN29" s="5">
        <v>0.96799999999999997</v>
      </c>
      <c r="AO29" s="5">
        <v>0.95820000000000005</v>
      </c>
      <c r="AP29" s="5">
        <v>0.94830000000000003</v>
      </c>
      <c r="AQ29" s="5">
        <v>0.94710000000000005</v>
      </c>
      <c r="AR29" s="5">
        <v>0.94789999999999996</v>
      </c>
      <c r="AS29" s="5">
        <v>0.94710000000000005</v>
      </c>
      <c r="AT29" s="5">
        <v>0.96250000000000002</v>
      </c>
      <c r="AU29" s="5">
        <v>0.96120000000000005</v>
      </c>
      <c r="AV29" s="5">
        <v>0.97119999999999995</v>
      </c>
      <c r="AW29" s="5">
        <v>0.97289999999999999</v>
      </c>
      <c r="AX29" s="5">
        <v>0.97789999999999999</v>
      </c>
      <c r="AY29" s="5">
        <v>0.97119999999999995</v>
      </c>
      <c r="AZ29" s="5">
        <v>0.97130000000000005</v>
      </c>
      <c r="BA29" s="5">
        <v>0.9577</v>
      </c>
      <c r="BB29" s="5">
        <v>0.94730000000000003</v>
      </c>
      <c r="BC29" s="5">
        <v>0.9466</v>
      </c>
      <c r="BD29" s="5">
        <v>0.94720000000000004</v>
      </c>
      <c r="BE29" s="5">
        <v>0.94650000000000001</v>
      </c>
      <c r="BF29" s="5">
        <v>0.96189999999999998</v>
      </c>
      <c r="BG29" s="5">
        <v>0.96040000000000003</v>
      </c>
      <c r="BH29" s="5">
        <v>0.9708</v>
      </c>
      <c r="BI29" s="5">
        <v>0.97230000000000005</v>
      </c>
      <c r="BJ29" s="5">
        <v>0.97760000000000002</v>
      </c>
      <c r="BK29" s="5">
        <v>0.97299999999999998</v>
      </c>
      <c r="BL29" s="5">
        <v>0.96740000000000004</v>
      </c>
      <c r="BM29" s="5">
        <v>0.95720000000000005</v>
      </c>
      <c r="BN29" s="5">
        <v>0.94640000000000002</v>
      </c>
      <c r="BO29" s="5">
        <v>0.94620000000000004</v>
      </c>
      <c r="BP29" s="5">
        <v>0.94640000000000002</v>
      </c>
      <c r="BQ29" s="5">
        <v>0.94589999999999996</v>
      </c>
      <c r="BR29" s="5">
        <v>0.96130000000000004</v>
      </c>
      <c r="BS29" s="5">
        <v>0.9597</v>
      </c>
      <c r="BT29" s="5">
        <v>0.97030000000000005</v>
      </c>
      <c r="BU29" s="5">
        <v>0.9718</v>
      </c>
      <c r="BV29" s="5">
        <v>0.97760000000000002</v>
      </c>
      <c r="BW29" s="5">
        <v>0.97209999999999996</v>
      </c>
      <c r="BX29" s="5">
        <v>0.96709999999999996</v>
      </c>
      <c r="BY29" s="5">
        <v>0.95679999999999998</v>
      </c>
      <c r="BZ29" s="5">
        <v>0.94540000000000002</v>
      </c>
      <c r="CA29" s="5">
        <v>0.9456</v>
      </c>
      <c r="CB29" s="5">
        <v>0.9456</v>
      </c>
      <c r="CC29" s="5">
        <v>0.94510000000000005</v>
      </c>
      <c r="CD29" s="5">
        <v>0.96050000000000002</v>
      </c>
      <c r="CE29" s="5">
        <v>0.95899999999999996</v>
      </c>
      <c r="CF29" s="5">
        <v>0.9698</v>
      </c>
      <c r="CG29" s="5">
        <v>0.97130000000000005</v>
      </c>
      <c r="CH29" s="5">
        <v>0.97760000000000002</v>
      </c>
      <c r="CI29" s="5">
        <v>0.97119999999999995</v>
      </c>
      <c r="CJ29" s="5">
        <v>0.96689999999999998</v>
      </c>
      <c r="CK29" s="5">
        <v>0.95640000000000003</v>
      </c>
      <c r="CL29" s="5">
        <v>0.94469999999999998</v>
      </c>
      <c r="CM29" s="5">
        <v>0.94540000000000002</v>
      </c>
      <c r="CN29" s="5">
        <v>0.94540000000000002</v>
      </c>
      <c r="CO29" s="5">
        <v>0.94510000000000005</v>
      </c>
      <c r="CP29" s="5">
        <v>0.96020000000000005</v>
      </c>
      <c r="CQ29" s="5">
        <v>0.9587</v>
      </c>
      <c r="CR29" s="5">
        <v>0.96960000000000002</v>
      </c>
      <c r="CS29" s="5">
        <v>0.97089999999999999</v>
      </c>
      <c r="CT29" s="5">
        <v>0.97709999999999997</v>
      </c>
      <c r="CU29" s="5">
        <v>0.96919999999999995</v>
      </c>
      <c r="CV29" s="5">
        <v>0.97019999999999995</v>
      </c>
      <c r="CW29" s="5">
        <v>0.95599999999999996</v>
      </c>
      <c r="CX29" s="5">
        <v>0.94450000000000001</v>
      </c>
      <c r="CY29" s="5">
        <v>0.94540000000000002</v>
      </c>
      <c r="CZ29" s="5">
        <v>0.94589999999999996</v>
      </c>
      <c r="DA29" s="5">
        <v>0.94550000000000001</v>
      </c>
      <c r="DB29" s="5">
        <v>0.96009999999999995</v>
      </c>
      <c r="DC29" s="5">
        <v>0.95840000000000003</v>
      </c>
      <c r="DD29" s="5">
        <v>0.96930000000000005</v>
      </c>
      <c r="DE29" s="5">
        <v>0.97070000000000001</v>
      </c>
      <c r="DF29" s="5">
        <v>0.97689999999999999</v>
      </c>
      <c r="DG29" s="5">
        <v>0.9708</v>
      </c>
      <c r="DH29" s="5">
        <v>0.96650000000000003</v>
      </c>
      <c r="DI29" s="5">
        <v>0.95579999999999998</v>
      </c>
      <c r="DJ29" s="5">
        <v>0.94420000000000004</v>
      </c>
      <c r="DK29" s="5">
        <v>0.94550000000000001</v>
      </c>
      <c r="DL29" s="5">
        <v>0.94640000000000002</v>
      </c>
      <c r="DM29" s="5">
        <v>0.94579999999999997</v>
      </c>
      <c r="DN29" s="5">
        <v>0.96009999999999995</v>
      </c>
      <c r="DO29" s="5">
        <v>0.95830000000000004</v>
      </c>
      <c r="DP29" s="5">
        <v>0.96909999999999996</v>
      </c>
      <c r="DQ29" s="5">
        <v>0.97050000000000003</v>
      </c>
      <c r="DR29" s="5">
        <v>0.97650000000000003</v>
      </c>
      <c r="DS29" s="5">
        <v>0.97070000000000001</v>
      </c>
      <c r="DT29" s="5">
        <v>0.96630000000000005</v>
      </c>
      <c r="DU29" s="5">
        <v>0.9556</v>
      </c>
      <c r="DV29" s="5">
        <v>0.94410000000000005</v>
      </c>
      <c r="DW29" s="5">
        <v>0.94550000000000001</v>
      </c>
      <c r="DX29" s="5">
        <v>0.94730000000000003</v>
      </c>
      <c r="DY29" s="5">
        <v>0.94599999999999995</v>
      </c>
      <c r="DZ29" s="5">
        <v>0.96020000000000005</v>
      </c>
      <c r="EA29" s="5">
        <v>0.95840000000000003</v>
      </c>
      <c r="EB29" s="5">
        <v>0.96899999999999997</v>
      </c>
      <c r="EC29" s="5">
        <v>0.97040000000000004</v>
      </c>
      <c r="ED29" s="5">
        <v>0.97609999999999997</v>
      </c>
      <c r="EE29" s="5">
        <v>0.97060000000000002</v>
      </c>
      <c r="EF29" s="5">
        <v>0.96619999999999995</v>
      </c>
      <c r="EG29" s="5">
        <v>0.95530000000000004</v>
      </c>
      <c r="EH29" s="5">
        <v>0.94399999999999995</v>
      </c>
      <c r="EI29" s="5">
        <v>0.94540000000000002</v>
      </c>
      <c r="EJ29" s="5">
        <v>0.94789999999999996</v>
      </c>
      <c r="EK29" s="5">
        <v>0.94620000000000004</v>
      </c>
      <c r="EL29" s="5">
        <v>0.96030000000000004</v>
      </c>
      <c r="EM29" s="5">
        <v>0.95850000000000002</v>
      </c>
      <c r="EN29" s="5">
        <v>0.96879999999999999</v>
      </c>
      <c r="EO29" s="5">
        <v>0.97019999999999995</v>
      </c>
      <c r="EP29" s="5">
        <v>0.97560000000000002</v>
      </c>
      <c r="EQ29" s="5">
        <v>0.96950000000000003</v>
      </c>
      <c r="ER29" s="5">
        <v>0.9698</v>
      </c>
      <c r="ES29" s="5">
        <v>0.95499999999999996</v>
      </c>
      <c r="ET29" s="5">
        <v>0.94389999999999996</v>
      </c>
      <c r="EU29" s="5">
        <v>0.97299999999999998</v>
      </c>
      <c r="EV29" s="5">
        <v>0.94840000000000002</v>
      </c>
      <c r="EW29" s="5">
        <v>0.94620000000000004</v>
      </c>
      <c r="EX29" s="5">
        <v>0.96040000000000003</v>
      </c>
      <c r="EY29" s="5">
        <v>0.95860000000000001</v>
      </c>
      <c r="EZ29" s="5">
        <v>0.96870000000000001</v>
      </c>
      <c r="FA29" s="5">
        <v>0.97009999999999996</v>
      </c>
      <c r="FB29" s="5">
        <v>0.97529999999999994</v>
      </c>
      <c r="FC29" s="5">
        <v>0.97089999999999999</v>
      </c>
      <c r="FD29" s="5">
        <v>0.96599999999999997</v>
      </c>
      <c r="FE29" s="5">
        <v>0.95479999999999998</v>
      </c>
      <c r="FF29" s="5">
        <v>0.94379999999999997</v>
      </c>
      <c r="FG29" s="5">
        <v>0.94520000000000004</v>
      </c>
      <c r="FH29" s="5">
        <v>0.94879999999999998</v>
      </c>
      <c r="FI29" s="5">
        <v>0.94640000000000002</v>
      </c>
      <c r="FJ29" s="5">
        <v>0.96060000000000001</v>
      </c>
      <c r="FK29" s="5">
        <v>0.95860000000000001</v>
      </c>
      <c r="FL29" s="5">
        <v>0.96860000000000002</v>
      </c>
      <c r="FM29" s="5">
        <v>0.97</v>
      </c>
      <c r="FN29" s="5">
        <v>0.97499999999999998</v>
      </c>
      <c r="FO29" s="5">
        <v>0.97089999999999999</v>
      </c>
      <c r="FP29" s="5">
        <v>0.96589999999999998</v>
      </c>
      <c r="FQ29" s="5">
        <v>0.9546</v>
      </c>
      <c r="FR29" s="5">
        <v>0.94369999999999998</v>
      </c>
      <c r="FS29" s="5">
        <v>0.94489999999999996</v>
      </c>
      <c r="FT29" s="5">
        <v>0.94889999999999997</v>
      </c>
      <c r="FU29" s="5">
        <v>0.94630000000000003</v>
      </c>
      <c r="FV29" s="5">
        <v>0.9607</v>
      </c>
      <c r="FW29" s="5">
        <v>0.9587</v>
      </c>
      <c r="FX29" s="5">
        <v>0.96850000000000003</v>
      </c>
      <c r="FY29" s="5">
        <v>0.9698</v>
      </c>
    </row>
    <row r="30" spans="1:181" x14ac:dyDescent="0.3">
      <c r="A30" s="2">
        <v>4</v>
      </c>
      <c r="B30" s="5">
        <v>0.81979999999999997</v>
      </c>
      <c r="C30" s="5">
        <v>0.90169999999999995</v>
      </c>
      <c r="D30" s="5">
        <v>0.88139999999999996</v>
      </c>
      <c r="E30" s="5">
        <v>0.86299999999999999</v>
      </c>
      <c r="F30" s="5">
        <v>0.82099999999999995</v>
      </c>
      <c r="G30" s="5">
        <v>0.88539999999999996</v>
      </c>
      <c r="H30" s="5">
        <v>0.88890000000000002</v>
      </c>
      <c r="I30" s="5">
        <v>0.86990000000000001</v>
      </c>
      <c r="J30" s="5">
        <v>0.90029999999999999</v>
      </c>
      <c r="K30" s="5">
        <v>0.89290000000000003</v>
      </c>
      <c r="L30" s="5">
        <v>0.89159999999999995</v>
      </c>
      <c r="M30" s="5">
        <v>0.89859999999999995</v>
      </c>
      <c r="N30" s="5">
        <v>0.83399999999999996</v>
      </c>
      <c r="O30" s="5">
        <v>0.95479999999999998</v>
      </c>
      <c r="P30" s="5">
        <v>0.88890000000000002</v>
      </c>
      <c r="Q30" s="5">
        <v>0.88290000000000002</v>
      </c>
      <c r="R30" s="5">
        <v>0.8347</v>
      </c>
      <c r="S30" s="5">
        <v>0.90949999999999998</v>
      </c>
      <c r="T30" s="5">
        <v>0.91859999999999997</v>
      </c>
      <c r="U30" s="5">
        <v>0.89849999999999997</v>
      </c>
      <c r="V30" s="5">
        <v>0.91830000000000001</v>
      </c>
      <c r="W30" s="5">
        <v>0.9093</v>
      </c>
      <c r="X30" s="5">
        <v>0.90290000000000004</v>
      </c>
      <c r="Y30" s="5">
        <v>0.90739999999999998</v>
      </c>
      <c r="Z30" s="5">
        <v>0.84430000000000005</v>
      </c>
      <c r="AA30" s="5">
        <v>0.96870000000000001</v>
      </c>
      <c r="AB30" s="5">
        <v>0.89790000000000003</v>
      </c>
      <c r="AC30" s="5">
        <v>0.89249999999999996</v>
      </c>
      <c r="AD30" s="5">
        <v>0.84389999999999998</v>
      </c>
      <c r="AE30" s="5">
        <v>0.9204</v>
      </c>
      <c r="AF30" s="5">
        <v>0.93269999999999997</v>
      </c>
      <c r="AG30" s="5">
        <v>0.91269999999999996</v>
      </c>
      <c r="AH30" s="5">
        <v>0.92879999999999996</v>
      </c>
      <c r="AI30" s="5">
        <v>0.91839999999999999</v>
      </c>
      <c r="AJ30" s="5">
        <v>0.90849999999999997</v>
      </c>
      <c r="AK30" s="5">
        <v>0.91249999999999998</v>
      </c>
      <c r="AL30" s="5">
        <v>0.84660000000000002</v>
      </c>
      <c r="AM30" s="5">
        <v>0.97240000000000004</v>
      </c>
      <c r="AN30" s="5">
        <v>0.90049999999999997</v>
      </c>
      <c r="AO30" s="5">
        <v>0.89480000000000004</v>
      </c>
      <c r="AP30" s="5">
        <v>0.84650000000000003</v>
      </c>
      <c r="AQ30" s="5">
        <v>0.92310000000000003</v>
      </c>
      <c r="AR30" s="5">
        <v>0.9355</v>
      </c>
      <c r="AS30" s="5">
        <v>0.9163</v>
      </c>
      <c r="AT30" s="5">
        <v>0.93289999999999995</v>
      </c>
      <c r="AU30" s="5">
        <v>0.92200000000000004</v>
      </c>
      <c r="AV30" s="5">
        <v>0.91</v>
      </c>
      <c r="AW30" s="5">
        <v>0.91359999999999997</v>
      </c>
      <c r="AX30" s="5">
        <v>0.84819999999999995</v>
      </c>
      <c r="AY30" s="5">
        <v>0.95920000000000005</v>
      </c>
      <c r="AZ30" s="5">
        <v>0.91339999999999999</v>
      </c>
      <c r="BA30" s="5">
        <v>0.89439999999999997</v>
      </c>
      <c r="BB30" s="5">
        <v>0.8468</v>
      </c>
      <c r="BC30" s="5">
        <v>0.92390000000000005</v>
      </c>
      <c r="BD30" s="5">
        <v>0.93640000000000001</v>
      </c>
      <c r="BE30" s="5">
        <v>0.91690000000000005</v>
      </c>
      <c r="BF30" s="5">
        <v>0.93469999999999998</v>
      </c>
      <c r="BG30" s="5">
        <v>0.92390000000000005</v>
      </c>
      <c r="BH30" s="5">
        <v>0.91069999999999995</v>
      </c>
      <c r="BI30" s="5">
        <v>0.91439999999999999</v>
      </c>
      <c r="BJ30" s="5">
        <v>0.84919999999999995</v>
      </c>
      <c r="BK30" s="5">
        <v>0.97550000000000003</v>
      </c>
      <c r="BL30" s="5">
        <v>0.90229999999999999</v>
      </c>
      <c r="BM30" s="5">
        <v>0.89470000000000005</v>
      </c>
      <c r="BN30" s="5">
        <v>0.84809999999999997</v>
      </c>
      <c r="BO30" s="5">
        <v>0.92369999999999997</v>
      </c>
      <c r="BP30" s="5">
        <v>0.93740000000000001</v>
      </c>
      <c r="BQ30" s="5">
        <v>0.91779999999999995</v>
      </c>
      <c r="BR30" s="5">
        <v>0.93630000000000002</v>
      </c>
      <c r="BS30" s="5">
        <v>0.92579999999999996</v>
      </c>
      <c r="BT30" s="5">
        <v>0.91139999999999999</v>
      </c>
      <c r="BU30" s="5">
        <v>0.91520000000000001</v>
      </c>
      <c r="BV30" s="5">
        <v>0.85070000000000001</v>
      </c>
      <c r="BW30" s="5">
        <v>0.97750000000000004</v>
      </c>
      <c r="BX30" s="5">
        <v>0.90359999999999996</v>
      </c>
      <c r="BY30" s="5">
        <v>0.89490000000000003</v>
      </c>
      <c r="BZ30" s="5">
        <v>0.84950000000000003</v>
      </c>
      <c r="CA30" s="5">
        <v>0.92359999999999998</v>
      </c>
      <c r="CB30" s="5">
        <v>0.93840000000000001</v>
      </c>
      <c r="CC30" s="5">
        <v>0.91879999999999995</v>
      </c>
      <c r="CD30" s="5">
        <v>0.9385</v>
      </c>
      <c r="CE30" s="5">
        <v>0.92779999999999996</v>
      </c>
      <c r="CF30" s="5">
        <v>0.91220000000000001</v>
      </c>
      <c r="CG30" s="5">
        <v>0.9163</v>
      </c>
      <c r="CH30" s="5">
        <v>0.85209999999999997</v>
      </c>
      <c r="CI30" s="5">
        <v>0.97909999999999997</v>
      </c>
      <c r="CJ30" s="5">
        <v>0.90439999999999998</v>
      </c>
      <c r="CK30" s="5">
        <v>0.89510000000000001</v>
      </c>
      <c r="CL30" s="5">
        <v>0.85040000000000004</v>
      </c>
      <c r="CM30" s="5">
        <v>0.92210000000000003</v>
      </c>
      <c r="CN30" s="5">
        <v>0.93679999999999997</v>
      </c>
      <c r="CO30" s="5">
        <v>0.91679999999999995</v>
      </c>
      <c r="CP30" s="5">
        <v>0.93879999999999997</v>
      </c>
      <c r="CQ30" s="5">
        <v>0.9284</v>
      </c>
      <c r="CR30" s="5">
        <v>0.91200000000000003</v>
      </c>
      <c r="CS30" s="5">
        <v>0.91600000000000004</v>
      </c>
      <c r="CT30" s="5">
        <v>0.85240000000000005</v>
      </c>
      <c r="CU30" s="5">
        <v>0.96209999999999996</v>
      </c>
      <c r="CV30" s="5">
        <v>0.91579999999999995</v>
      </c>
      <c r="CW30" s="5">
        <v>0.89380000000000004</v>
      </c>
      <c r="CX30" s="5">
        <v>0.85009999999999997</v>
      </c>
      <c r="CY30" s="5">
        <v>0.91879999999999995</v>
      </c>
      <c r="CZ30" s="5">
        <v>0.93289999999999995</v>
      </c>
      <c r="DA30" s="5">
        <v>0.91190000000000004</v>
      </c>
      <c r="DB30" s="5">
        <v>0.93820000000000003</v>
      </c>
      <c r="DC30" s="5">
        <v>0.92800000000000005</v>
      </c>
      <c r="DD30" s="5">
        <v>0.91120000000000001</v>
      </c>
      <c r="DE30" s="5">
        <v>0.91579999999999995</v>
      </c>
      <c r="DF30" s="5">
        <v>0.85370000000000001</v>
      </c>
      <c r="DG30" s="5">
        <v>0.97809999999999997</v>
      </c>
      <c r="DH30" s="5">
        <v>0.90390000000000004</v>
      </c>
      <c r="DI30" s="5">
        <v>0.8931</v>
      </c>
      <c r="DJ30" s="5">
        <v>0.84989999999999999</v>
      </c>
      <c r="DK30" s="5">
        <v>0.91549999999999998</v>
      </c>
      <c r="DL30" s="5">
        <v>0.92869999999999997</v>
      </c>
      <c r="DM30" s="5">
        <v>0.90749999999999997</v>
      </c>
      <c r="DN30" s="5">
        <v>0.93720000000000003</v>
      </c>
      <c r="DO30" s="5">
        <v>0.92769999999999997</v>
      </c>
      <c r="DP30" s="5">
        <v>0.91039999999999999</v>
      </c>
      <c r="DQ30" s="5">
        <v>0.91549999999999998</v>
      </c>
      <c r="DR30" s="5">
        <v>0.85389999999999999</v>
      </c>
      <c r="DS30" s="5">
        <v>0.97760000000000002</v>
      </c>
      <c r="DT30" s="5">
        <v>0.90359999999999996</v>
      </c>
      <c r="DU30" s="5">
        <v>0.89219999999999999</v>
      </c>
      <c r="DV30" s="5">
        <v>0.84970000000000001</v>
      </c>
      <c r="DW30" s="5">
        <v>0.91200000000000003</v>
      </c>
      <c r="DX30" s="5">
        <v>0.92220000000000002</v>
      </c>
      <c r="DY30" s="5">
        <v>0.90259999999999996</v>
      </c>
      <c r="DZ30" s="5">
        <v>0.93620000000000003</v>
      </c>
      <c r="EA30" s="5">
        <v>0.92689999999999995</v>
      </c>
      <c r="EB30" s="5">
        <v>0.90959999999999996</v>
      </c>
      <c r="EC30" s="5">
        <v>0.91500000000000004</v>
      </c>
      <c r="ED30" s="5">
        <v>0.85429999999999995</v>
      </c>
      <c r="EE30" s="5">
        <v>0.9768</v>
      </c>
      <c r="EF30" s="5">
        <v>0.90310000000000001</v>
      </c>
      <c r="EG30" s="5">
        <v>0.89149999999999996</v>
      </c>
      <c r="EH30" s="5">
        <v>0.84950000000000003</v>
      </c>
      <c r="EI30" s="5">
        <v>0.90890000000000004</v>
      </c>
      <c r="EJ30" s="5">
        <v>0.91620000000000001</v>
      </c>
      <c r="EK30" s="5">
        <v>0.89780000000000004</v>
      </c>
      <c r="EL30" s="5">
        <v>0.93520000000000003</v>
      </c>
      <c r="EM30" s="5">
        <v>0.92620000000000002</v>
      </c>
      <c r="EN30" s="5">
        <v>0.90910000000000002</v>
      </c>
      <c r="EO30" s="5">
        <v>0.91479999999999995</v>
      </c>
      <c r="EP30" s="5">
        <v>0.85470000000000002</v>
      </c>
      <c r="EQ30" s="5">
        <v>0.95420000000000005</v>
      </c>
      <c r="ER30" s="5">
        <v>0.91410000000000002</v>
      </c>
      <c r="ES30" s="5">
        <v>0.89059999999999995</v>
      </c>
      <c r="ET30" s="5">
        <v>0.84930000000000005</v>
      </c>
      <c r="EU30" s="5">
        <v>0.93789999999999996</v>
      </c>
      <c r="EV30" s="5">
        <v>0.90869999999999995</v>
      </c>
      <c r="EW30" s="5">
        <v>0.89390000000000003</v>
      </c>
      <c r="EX30" s="5">
        <v>0.93400000000000005</v>
      </c>
      <c r="EY30" s="5">
        <v>0.92530000000000001</v>
      </c>
      <c r="EZ30" s="5">
        <v>0.90839999999999999</v>
      </c>
      <c r="FA30" s="5">
        <v>0.91449999999999998</v>
      </c>
      <c r="FB30" s="5">
        <v>0.85519999999999996</v>
      </c>
      <c r="FC30" s="5">
        <v>0.97450000000000003</v>
      </c>
      <c r="FD30" s="5">
        <v>0.90229999999999999</v>
      </c>
      <c r="FE30" s="5">
        <v>0.89039999999999997</v>
      </c>
      <c r="FF30" s="5">
        <v>0.84970000000000001</v>
      </c>
      <c r="FG30" s="5">
        <v>0.90349999999999997</v>
      </c>
      <c r="FH30" s="5">
        <v>0.90249999999999997</v>
      </c>
      <c r="FI30" s="5">
        <v>0.89029999999999998</v>
      </c>
      <c r="FJ30" s="5">
        <v>0.93240000000000001</v>
      </c>
      <c r="FK30" s="5">
        <v>0.92479999999999996</v>
      </c>
      <c r="FL30" s="5">
        <v>0.90800000000000003</v>
      </c>
      <c r="FM30" s="5">
        <v>0.91439999999999999</v>
      </c>
      <c r="FN30" s="5">
        <v>0.85570000000000002</v>
      </c>
      <c r="FO30" s="5">
        <v>0.9738</v>
      </c>
      <c r="FP30" s="5">
        <v>0.90210000000000001</v>
      </c>
      <c r="FQ30" s="5">
        <v>0.8901</v>
      </c>
      <c r="FR30" s="5">
        <v>0.85009999999999997</v>
      </c>
      <c r="FS30" s="5">
        <v>0.90139999999999998</v>
      </c>
      <c r="FT30" s="5">
        <v>0.89710000000000001</v>
      </c>
      <c r="FU30" s="5">
        <v>0.88759999999999994</v>
      </c>
      <c r="FV30" s="5">
        <v>0.93100000000000005</v>
      </c>
      <c r="FW30" s="5">
        <v>0.92420000000000002</v>
      </c>
      <c r="FX30" s="5">
        <v>0.90739999999999998</v>
      </c>
      <c r="FY30" s="5">
        <v>0.91420000000000001</v>
      </c>
    </row>
    <row r="32" spans="1:181" x14ac:dyDescent="0.3">
      <c r="A32" s="4">
        <v>6</v>
      </c>
      <c r="B32" s="1">
        <v>45292</v>
      </c>
      <c r="C32" s="1">
        <v>45323</v>
      </c>
      <c r="D32" s="1">
        <v>45352</v>
      </c>
      <c r="E32" s="1">
        <v>45383</v>
      </c>
      <c r="F32" s="1">
        <v>45413</v>
      </c>
      <c r="G32" s="1">
        <v>45444</v>
      </c>
      <c r="H32" s="1">
        <v>45474</v>
      </c>
      <c r="I32" s="1">
        <v>45505</v>
      </c>
      <c r="J32" s="1">
        <v>45536</v>
      </c>
      <c r="K32" s="1">
        <v>45566</v>
      </c>
      <c r="L32" s="1">
        <v>45597</v>
      </c>
      <c r="M32" s="1">
        <v>45627</v>
      </c>
      <c r="N32" s="1">
        <v>45658</v>
      </c>
      <c r="O32" s="1">
        <v>45689</v>
      </c>
      <c r="P32" s="1">
        <v>45717</v>
      </c>
      <c r="Q32" s="1">
        <v>45748</v>
      </c>
      <c r="R32" s="1">
        <v>45778</v>
      </c>
      <c r="S32" s="1">
        <v>45809</v>
      </c>
      <c r="T32" s="1">
        <v>45839</v>
      </c>
      <c r="U32" s="1">
        <v>45870</v>
      </c>
      <c r="V32" s="1">
        <v>45901</v>
      </c>
      <c r="W32" s="1">
        <v>45931</v>
      </c>
      <c r="X32" s="1">
        <v>45962</v>
      </c>
      <c r="Y32" s="1">
        <v>45992</v>
      </c>
      <c r="Z32" s="1">
        <v>46023</v>
      </c>
      <c r="AA32" s="1">
        <v>46054</v>
      </c>
      <c r="AB32" s="1">
        <v>46082</v>
      </c>
      <c r="AC32" s="1">
        <v>46113</v>
      </c>
      <c r="AD32" s="1">
        <v>46143</v>
      </c>
      <c r="AE32" s="1">
        <v>46174</v>
      </c>
      <c r="AF32" s="1">
        <v>46204</v>
      </c>
      <c r="AG32" s="1">
        <v>46235</v>
      </c>
      <c r="AH32" s="1">
        <v>46266</v>
      </c>
      <c r="AI32" s="1">
        <v>46296</v>
      </c>
      <c r="AJ32" s="1">
        <v>46327</v>
      </c>
      <c r="AK32" s="1">
        <v>46357</v>
      </c>
      <c r="AL32" s="1">
        <v>46388</v>
      </c>
      <c r="AM32" s="1">
        <v>46419</v>
      </c>
      <c r="AN32" s="1">
        <v>46447</v>
      </c>
      <c r="AO32" s="1">
        <v>46478</v>
      </c>
      <c r="AP32" s="1">
        <v>46508</v>
      </c>
      <c r="AQ32" s="1">
        <v>46539</v>
      </c>
      <c r="AR32" s="1">
        <v>46569</v>
      </c>
      <c r="AS32" s="1">
        <v>46600</v>
      </c>
      <c r="AT32" s="1">
        <v>46631</v>
      </c>
      <c r="AU32" s="1">
        <v>46661</v>
      </c>
      <c r="AV32" s="1">
        <v>46692</v>
      </c>
      <c r="AW32" s="1">
        <v>46722</v>
      </c>
      <c r="AX32" s="1">
        <v>46753</v>
      </c>
      <c r="AY32" s="1">
        <v>46784</v>
      </c>
      <c r="AZ32" s="1">
        <v>46813</v>
      </c>
      <c r="BA32" s="1">
        <v>46844</v>
      </c>
      <c r="BB32" s="1">
        <v>46874</v>
      </c>
      <c r="BC32" s="1">
        <v>46905</v>
      </c>
      <c r="BD32" s="1">
        <v>46935</v>
      </c>
      <c r="BE32" s="1">
        <v>46966</v>
      </c>
      <c r="BF32" s="1">
        <v>46997</v>
      </c>
      <c r="BG32" s="1">
        <v>47027</v>
      </c>
      <c r="BH32" s="1">
        <v>47058</v>
      </c>
      <c r="BI32" s="1">
        <v>47088</v>
      </c>
      <c r="BJ32" s="1">
        <v>47119</v>
      </c>
      <c r="BK32" s="1">
        <v>47150</v>
      </c>
      <c r="BL32" s="1">
        <v>47178</v>
      </c>
      <c r="BM32" s="1">
        <v>47209</v>
      </c>
      <c r="BN32" s="1">
        <v>47239</v>
      </c>
      <c r="BO32" s="1">
        <v>47270</v>
      </c>
      <c r="BP32" s="1">
        <v>47300</v>
      </c>
      <c r="BQ32" s="1">
        <v>47331</v>
      </c>
      <c r="BR32" s="1">
        <v>47362</v>
      </c>
      <c r="BS32" s="1">
        <v>47392</v>
      </c>
      <c r="BT32" s="1">
        <v>47423</v>
      </c>
      <c r="BU32" s="1">
        <v>47453</v>
      </c>
      <c r="BV32" s="1">
        <v>47484</v>
      </c>
      <c r="BW32" s="1">
        <v>47515</v>
      </c>
      <c r="BX32" s="1">
        <v>47543</v>
      </c>
      <c r="BY32" s="1">
        <v>47574</v>
      </c>
      <c r="BZ32" s="1">
        <v>47604</v>
      </c>
      <c r="CA32" s="1">
        <v>47635</v>
      </c>
      <c r="CB32" s="1">
        <v>47665</v>
      </c>
      <c r="CC32" s="1">
        <v>47696</v>
      </c>
      <c r="CD32" s="1">
        <v>47727</v>
      </c>
      <c r="CE32" s="1">
        <v>47757</v>
      </c>
      <c r="CF32" s="1">
        <v>47788</v>
      </c>
      <c r="CG32" s="1">
        <v>47818</v>
      </c>
      <c r="CH32" s="1">
        <v>47849</v>
      </c>
      <c r="CI32" s="1">
        <v>47880</v>
      </c>
      <c r="CJ32" s="1">
        <v>47908</v>
      </c>
      <c r="CK32" s="1">
        <v>47939</v>
      </c>
      <c r="CL32" s="1">
        <v>47969</v>
      </c>
      <c r="CM32" s="1">
        <v>48000</v>
      </c>
      <c r="CN32" s="1">
        <v>48030</v>
      </c>
      <c r="CO32" s="1">
        <v>48061</v>
      </c>
      <c r="CP32" s="1">
        <v>48092</v>
      </c>
      <c r="CQ32" s="1">
        <v>48122</v>
      </c>
      <c r="CR32" s="1">
        <v>48153</v>
      </c>
      <c r="CS32" s="1">
        <v>48183</v>
      </c>
      <c r="CT32" s="1">
        <v>48214</v>
      </c>
      <c r="CU32" s="1">
        <v>48245</v>
      </c>
      <c r="CV32" s="1">
        <v>48274</v>
      </c>
      <c r="CW32" s="1">
        <v>48305</v>
      </c>
      <c r="CX32" s="1">
        <v>48335</v>
      </c>
      <c r="CY32" s="1">
        <v>48366</v>
      </c>
      <c r="CZ32" s="1">
        <v>48396</v>
      </c>
      <c r="DA32" s="1">
        <v>48427</v>
      </c>
      <c r="DB32" s="1">
        <v>48458</v>
      </c>
      <c r="DC32" s="1">
        <v>48488</v>
      </c>
      <c r="DD32" s="1">
        <v>48519</v>
      </c>
      <c r="DE32" s="1">
        <v>48549</v>
      </c>
      <c r="DF32" s="1">
        <v>48580</v>
      </c>
      <c r="DG32" s="1">
        <v>48611</v>
      </c>
      <c r="DH32" s="1">
        <v>48639</v>
      </c>
      <c r="DI32" s="1">
        <v>48670</v>
      </c>
      <c r="DJ32" s="1">
        <v>48700</v>
      </c>
      <c r="DK32" s="1">
        <v>48731</v>
      </c>
      <c r="DL32" s="1">
        <v>48761</v>
      </c>
      <c r="DM32" s="1">
        <v>48792</v>
      </c>
      <c r="DN32" s="1">
        <v>48823</v>
      </c>
      <c r="DO32" s="1">
        <v>48853</v>
      </c>
      <c r="DP32" s="1">
        <v>48884</v>
      </c>
      <c r="DQ32" s="1">
        <v>48914</v>
      </c>
      <c r="DR32" s="1">
        <v>48945</v>
      </c>
      <c r="DS32" s="1">
        <v>48976</v>
      </c>
      <c r="DT32" s="1">
        <v>49004</v>
      </c>
      <c r="DU32" s="1">
        <v>49035</v>
      </c>
      <c r="DV32" s="1">
        <v>49065</v>
      </c>
      <c r="DW32" s="1">
        <v>49096</v>
      </c>
      <c r="DX32" s="1">
        <v>49126</v>
      </c>
      <c r="DY32" s="1">
        <v>49157</v>
      </c>
      <c r="DZ32" s="1">
        <v>49188</v>
      </c>
      <c r="EA32" s="1">
        <v>49218</v>
      </c>
      <c r="EB32" s="1">
        <v>49249</v>
      </c>
      <c r="EC32" s="1">
        <v>49279</v>
      </c>
      <c r="ED32" s="1">
        <v>49310</v>
      </c>
      <c r="EE32" s="1">
        <v>49341</v>
      </c>
      <c r="EF32" s="1">
        <v>49369</v>
      </c>
      <c r="EG32" s="1">
        <v>49400</v>
      </c>
      <c r="EH32" s="1">
        <v>49430</v>
      </c>
      <c r="EI32" s="1">
        <v>49461</v>
      </c>
      <c r="EJ32" s="1">
        <v>49491</v>
      </c>
      <c r="EK32" s="1">
        <v>49522</v>
      </c>
      <c r="EL32" s="1">
        <v>49553</v>
      </c>
      <c r="EM32" s="1">
        <v>49583</v>
      </c>
      <c r="EN32" s="1">
        <v>49614</v>
      </c>
      <c r="EO32" s="1">
        <v>49644</v>
      </c>
      <c r="EP32" s="1">
        <v>49675</v>
      </c>
      <c r="EQ32" s="1">
        <v>49706</v>
      </c>
      <c r="ER32" s="1">
        <v>49735</v>
      </c>
      <c r="ES32" s="1">
        <v>49766</v>
      </c>
      <c r="ET32" s="1">
        <v>49796</v>
      </c>
      <c r="EU32" s="1">
        <v>49827</v>
      </c>
      <c r="EV32" s="1">
        <v>49857</v>
      </c>
      <c r="EW32" s="1">
        <v>49888</v>
      </c>
      <c r="EX32" s="1">
        <v>49919</v>
      </c>
      <c r="EY32" s="1">
        <v>49949</v>
      </c>
      <c r="EZ32" s="1">
        <v>49980</v>
      </c>
      <c r="FA32" s="1">
        <v>50010</v>
      </c>
      <c r="FB32" s="1">
        <v>50041</v>
      </c>
      <c r="FC32" s="1">
        <v>50072</v>
      </c>
      <c r="FD32" s="1">
        <v>50100</v>
      </c>
      <c r="FE32" s="1">
        <v>50131</v>
      </c>
      <c r="FF32" s="1">
        <v>50161</v>
      </c>
      <c r="FG32" s="1">
        <v>50192</v>
      </c>
      <c r="FH32" s="1">
        <v>50222</v>
      </c>
      <c r="FI32" s="1">
        <v>50253</v>
      </c>
      <c r="FJ32" s="1">
        <v>50284</v>
      </c>
      <c r="FK32" s="1">
        <v>50314</v>
      </c>
      <c r="FL32" s="1">
        <v>50345</v>
      </c>
      <c r="FM32" s="1">
        <v>50375</v>
      </c>
      <c r="FN32" s="1">
        <v>50406</v>
      </c>
      <c r="FO32" s="1">
        <v>50437</v>
      </c>
      <c r="FP32" s="1">
        <v>50465</v>
      </c>
      <c r="FQ32" s="1">
        <v>50496</v>
      </c>
      <c r="FR32" s="1">
        <v>50526</v>
      </c>
      <c r="FS32" s="1">
        <v>50557</v>
      </c>
      <c r="FT32" s="1">
        <v>50587</v>
      </c>
      <c r="FU32" s="1">
        <v>50618</v>
      </c>
      <c r="FV32" s="1">
        <v>50649</v>
      </c>
      <c r="FW32" s="1">
        <v>50679</v>
      </c>
      <c r="FX32" s="1">
        <v>50710</v>
      </c>
      <c r="FY32" s="1">
        <v>50740</v>
      </c>
    </row>
    <row r="33" spans="1:181" x14ac:dyDescent="0.3">
      <c r="A33" s="2">
        <v>1</v>
      </c>
      <c r="B33" s="5">
        <v>1.3359000000000001</v>
      </c>
      <c r="C33" s="5">
        <v>1.3433999999999999</v>
      </c>
      <c r="D33" s="5">
        <v>1.3290999999999999</v>
      </c>
      <c r="E33" s="5">
        <v>1.3792</v>
      </c>
      <c r="F33" s="5">
        <v>1.4674</v>
      </c>
      <c r="G33" s="5">
        <v>1.4214</v>
      </c>
      <c r="H33" s="5">
        <v>1.39</v>
      </c>
      <c r="I33" s="5">
        <v>1.3758999999999999</v>
      </c>
      <c r="J33" s="5">
        <v>1.3151999999999999</v>
      </c>
      <c r="K33" s="5">
        <v>1.2883</v>
      </c>
      <c r="L33" s="5">
        <v>1.3519000000000001</v>
      </c>
      <c r="M33" s="5">
        <v>1.3675999999999999</v>
      </c>
      <c r="N33" s="5">
        <v>1.3459000000000001</v>
      </c>
      <c r="O33" s="5">
        <v>1.333</v>
      </c>
      <c r="P33" s="5">
        <v>1.3504</v>
      </c>
      <c r="Q33" s="5">
        <v>1.381</v>
      </c>
      <c r="R33" s="5">
        <v>1.4681</v>
      </c>
      <c r="S33" s="5">
        <v>1.425</v>
      </c>
      <c r="T33" s="5">
        <v>1.3944000000000001</v>
      </c>
      <c r="U33" s="5">
        <v>1.3804000000000001</v>
      </c>
      <c r="V33" s="5">
        <v>1.3185</v>
      </c>
      <c r="W33" s="5">
        <v>1.2905</v>
      </c>
      <c r="X33" s="5">
        <v>1.3524</v>
      </c>
      <c r="Y33" s="5">
        <v>1.3656999999999999</v>
      </c>
      <c r="Z33" s="5">
        <v>1.3419000000000001</v>
      </c>
      <c r="AA33" s="5">
        <v>1.33</v>
      </c>
      <c r="AB33" s="5">
        <v>1.3473999999999999</v>
      </c>
      <c r="AC33" s="5">
        <v>1.3848</v>
      </c>
      <c r="AD33" s="5">
        <v>1.4710000000000001</v>
      </c>
      <c r="AE33" s="5">
        <v>1.4303999999999999</v>
      </c>
      <c r="AF33" s="5">
        <v>1.3987000000000001</v>
      </c>
      <c r="AG33" s="5">
        <v>1.3846000000000001</v>
      </c>
      <c r="AH33" s="5">
        <v>1.3214999999999999</v>
      </c>
      <c r="AI33" s="5">
        <v>1.2927</v>
      </c>
      <c r="AJ33" s="5">
        <v>1.3537999999999999</v>
      </c>
      <c r="AK33" s="5">
        <v>1.3671</v>
      </c>
      <c r="AL33" s="5">
        <v>1.3413999999999999</v>
      </c>
      <c r="AM33" s="5">
        <v>1.3292999999999999</v>
      </c>
      <c r="AN33" s="5">
        <v>1.3466</v>
      </c>
      <c r="AO33" s="5">
        <v>1.3835999999999999</v>
      </c>
      <c r="AP33" s="5">
        <v>1.4703999999999999</v>
      </c>
      <c r="AQ33" s="5">
        <v>1.4315</v>
      </c>
      <c r="AR33" s="5">
        <v>1.4001999999999999</v>
      </c>
      <c r="AS33" s="5">
        <v>1.3865000000000001</v>
      </c>
      <c r="AT33" s="5">
        <v>1.3224</v>
      </c>
      <c r="AU33" s="5">
        <v>1.2930999999999999</v>
      </c>
      <c r="AV33" s="5">
        <v>1.3532999999999999</v>
      </c>
      <c r="AW33" s="5">
        <v>1.3662000000000001</v>
      </c>
      <c r="AX33" s="5">
        <v>1.3565</v>
      </c>
      <c r="AY33" s="5">
        <v>1.335</v>
      </c>
      <c r="AZ33" s="5">
        <v>1.3306</v>
      </c>
      <c r="BA33" s="5">
        <v>1.3805000000000001</v>
      </c>
      <c r="BB33" s="5">
        <v>1.4671000000000001</v>
      </c>
      <c r="BC33" s="5">
        <v>1.4313</v>
      </c>
      <c r="BD33" s="5">
        <v>1.4006000000000001</v>
      </c>
      <c r="BE33" s="5">
        <v>1.3874</v>
      </c>
      <c r="BF33" s="5">
        <v>1.3229</v>
      </c>
      <c r="BG33" s="5">
        <v>1.2925</v>
      </c>
      <c r="BH33" s="5">
        <v>1.3515999999999999</v>
      </c>
      <c r="BI33" s="5">
        <v>1.3636999999999999</v>
      </c>
      <c r="BJ33" s="5">
        <v>1.3535999999999999</v>
      </c>
      <c r="BK33" s="5">
        <v>1.323</v>
      </c>
      <c r="BL33" s="5">
        <v>1.3406</v>
      </c>
      <c r="BM33" s="5">
        <v>1.3783000000000001</v>
      </c>
      <c r="BN33" s="5">
        <v>1.4639</v>
      </c>
      <c r="BO33" s="5">
        <v>1.4314</v>
      </c>
      <c r="BP33" s="5">
        <v>1.4023000000000001</v>
      </c>
      <c r="BQ33" s="5">
        <v>1.3891</v>
      </c>
      <c r="BR33" s="5">
        <v>1.3237000000000001</v>
      </c>
      <c r="BS33" s="5">
        <v>1.2927</v>
      </c>
      <c r="BT33" s="5">
        <v>1.3499000000000001</v>
      </c>
      <c r="BU33" s="5">
        <v>1.3627</v>
      </c>
      <c r="BV33" s="5">
        <v>1.3515999999999999</v>
      </c>
      <c r="BW33" s="5">
        <v>1.3207</v>
      </c>
      <c r="BX33" s="5">
        <v>1.3388</v>
      </c>
      <c r="BY33" s="5">
        <v>1.3765000000000001</v>
      </c>
      <c r="BZ33" s="5">
        <v>1.4623999999999999</v>
      </c>
      <c r="CA33" s="5">
        <v>1.4328000000000001</v>
      </c>
      <c r="CB33" s="5">
        <v>1.4040999999999999</v>
      </c>
      <c r="CC33" s="5">
        <v>1.3913</v>
      </c>
      <c r="CD33" s="5">
        <v>1.3249</v>
      </c>
      <c r="CE33" s="5">
        <v>1.2930999999999999</v>
      </c>
      <c r="CF33" s="5">
        <v>1.3492</v>
      </c>
      <c r="CG33" s="5">
        <v>1.3615999999999999</v>
      </c>
      <c r="CH33" s="5">
        <v>1.3495999999999999</v>
      </c>
      <c r="CI33" s="5">
        <v>1.3185</v>
      </c>
      <c r="CJ33" s="5">
        <v>1.3365</v>
      </c>
      <c r="CK33" s="5">
        <v>1.3741000000000001</v>
      </c>
      <c r="CL33" s="5">
        <v>1.4597</v>
      </c>
      <c r="CM33" s="5">
        <v>1.4333</v>
      </c>
      <c r="CN33" s="5">
        <v>1.4048</v>
      </c>
      <c r="CO33" s="5">
        <v>1.3920999999999999</v>
      </c>
      <c r="CP33" s="5">
        <v>1.3243</v>
      </c>
      <c r="CQ33" s="5">
        <v>1.2914000000000001</v>
      </c>
      <c r="CR33" s="5">
        <v>1.3706</v>
      </c>
      <c r="CS33" s="5">
        <v>1.3581000000000001</v>
      </c>
      <c r="CT33" s="5">
        <v>1.3454999999999999</v>
      </c>
      <c r="CU33" s="5">
        <v>1.3217000000000001</v>
      </c>
      <c r="CV33" s="5">
        <v>1.3207</v>
      </c>
      <c r="CW33" s="5">
        <v>1.3701000000000001</v>
      </c>
      <c r="CX33" s="5">
        <v>1.4554</v>
      </c>
      <c r="CY33" s="5">
        <v>1.4319999999999999</v>
      </c>
      <c r="CZ33" s="5">
        <v>1.4044000000000001</v>
      </c>
      <c r="DA33" s="5">
        <v>1.3919999999999999</v>
      </c>
      <c r="DB33" s="5">
        <v>1.3231999999999999</v>
      </c>
      <c r="DC33" s="5">
        <v>1.2895000000000001</v>
      </c>
      <c r="DD33" s="5">
        <v>1.3676999999999999</v>
      </c>
      <c r="DE33" s="5">
        <v>1.3544</v>
      </c>
      <c r="DF33" s="5">
        <v>1.3411999999999999</v>
      </c>
      <c r="DG33" s="5">
        <v>1.3091999999999999</v>
      </c>
      <c r="DH33" s="5">
        <v>1.3279000000000001</v>
      </c>
      <c r="DI33" s="5">
        <v>1.3655999999999999</v>
      </c>
      <c r="DJ33" s="5">
        <v>1.4510000000000001</v>
      </c>
      <c r="DK33" s="5">
        <v>1.4307000000000001</v>
      </c>
      <c r="DL33" s="5">
        <v>1.4036999999999999</v>
      </c>
      <c r="DM33" s="5">
        <v>1.3915999999999999</v>
      </c>
      <c r="DN33" s="5">
        <v>1.3218000000000001</v>
      </c>
      <c r="DO33" s="5">
        <v>1.2871999999999999</v>
      </c>
      <c r="DP33" s="5">
        <v>1.3645</v>
      </c>
      <c r="DQ33" s="5">
        <v>1.3506</v>
      </c>
      <c r="DR33" s="5">
        <v>1.337</v>
      </c>
      <c r="DS33" s="5">
        <v>1.3045</v>
      </c>
      <c r="DT33" s="5">
        <v>1.3234999999999999</v>
      </c>
      <c r="DU33" s="5">
        <v>1.3611</v>
      </c>
      <c r="DV33" s="5">
        <v>1.4466000000000001</v>
      </c>
      <c r="DW33" s="5">
        <v>1.4296</v>
      </c>
      <c r="DX33" s="5">
        <v>1.4032</v>
      </c>
      <c r="DY33" s="5">
        <v>1.3914</v>
      </c>
      <c r="DZ33" s="5">
        <v>1.3204</v>
      </c>
      <c r="EA33" s="5">
        <v>1.2849999999999999</v>
      </c>
      <c r="EB33" s="5">
        <v>1.3612</v>
      </c>
      <c r="EC33" s="5">
        <v>1.347</v>
      </c>
      <c r="ED33" s="5">
        <v>1.3329</v>
      </c>
      <c r="EE33" s="5">
        <v>1.2999000000000001</v>
      </c>
      <c r="EF33" s="5">
        <v>1.3193999999999999</v>
      </c>
      <c r="EG33" s="5">
        <v>1.3571</v>
      </c>
      <c r="EH33" s="5">
        <v>1.4426000000000001</v>
      </c>
      <c r="EI33" s="5">
        <v>1.4287000000000001</v>
      </c>
      <c r="EJ33" s="5">
        <v>1.4028</v>
      </c>
      <c r="EK33" s="5">
        <v>1.3913</v>
      </c>
      <c r="EL33" s="5">
        <v>1.3190999999999999</v>
      </c>
      <c r="EM33" s="5">
        <v>1.2827999999999999</v>
      </c>
      <c r="EN33" s="5">
        <v>1.3584000000000001</v>
      </c>
      <c r="EO33" s="5">
        <v>1.3619000000000001</v>
      </c>
      <c r="EP33" s="5">
        <v>1.329</v>
      </c>
      <c r="EQ33" s="5">
        <v>1.3371999999999999</v>
      </c>
      <c r="ER33" s="5">
        <v>1.3055000000000001</v>
      </c>
      <c r="ES33" s="5">
        <v>1.353</v>
      </c>
      <c r="ET33" s="5">
        <v>1.4382999999999999</v>
      </c>
      <c r="EU33" s="5">
        <v>1.4279999999999999</v>
      </c>
      <c r="EV33" s="5">
        <v>1.403</v>
      </c>
      <c r="EW33" s="5">
        <v>1.3915999999999999</v>
      </c>
      <c r="EX33" s="5">
        <v>1.3177000000000001</v>
      </c>
      <c r="EY33" s="5">
        <v>1.2806999999999999</v>
      </c>
      <c r="EZ33" s="5">
        <v>1.3552</v>
      </c>
      <c r="FA33" s="5">
        <v>1.3588</v>
      </c>
      <c r="FB33" s="5">
        <v>1.3250999999999999</v>
      </c>
      <c r="FC33" s="5">
        <v>1.2915000000000001</v>
      </c>
      <c r="FD33" s="5">
        <v>1.3116000000000001</v>
      </c>
      <c r="FE33" s="5">
        <v>1.3492</v>
      </c>
      <c r="FF33" s="5">
        <v>1.4342999999999999</v>
      </c>
      <c r="FG33" s="5">
        <v>1.4274</v>
      </c>
      <c r="FH33" s="5">
        <v>1.4026000000000001</v>
      </c>
      <c r="FI33" s="5">
        <v>1.3916999999999999</v>
      </c>
      <c r="FJ33" s="5">
        <v>1.3165</v>
      </c>
      <c r="FK33" s="5">
        <v>1.2785</v>
      </c>
      <c r="FL33" s="5">
        <v>1.3520000000000001</v>
      </c>
      <c r="FM33" s="5">
        <v>1.3553999999999999</v>
      </c>
      <c r="FN33" s="5">
        <v>1.3251999999999999</v>
      </c>
      <c r="FO33" s="5">
        <v>1.2796000000000001</v>
      </c>
      <c r="FP33" s="5">
        <v>1.3089999999999999</v>
      </c>
      <c r="FQ33" s="5">
        <v>1.3462000000000001</v>
      </c>
      <c r="FR33" s="5">
        <v>1.431</v>
      </c>
      <c r="FS33" s="5">
        <v>1.4265000000000001</v>
      </c>
      <c r="FT33" s="5">
        <v>1.403</v>
      </c>
      <c r="FU33" s="5">
        <v>1.3917999999999999</v>
      </c>
      <c r="FV33" s="5">
        <v>1.3154999999999999</v>
      </c>
      <c r="FW33" s="5">
        <v>1.2770999999999999</v>
      </c>
      <c r="FX33" s="5">
        <v>1.35</v>
      </c>
      <c r="FY33" s="5">
        <v>1.3533999999999999</v>
      </c>
    </row>
    <row r="34" spans="1:181" x14ac:dyDescent="0.3">
      <c r="A34" s="2">
        <v>2</v>
      </c>
      <c r="B34" s="5">
        <v>1.1519999999999999</v>
      </c>
      <c r="C34" s="5">
        <v>1.1332</v>
      </c>
      <c r="D34" s="5">
        <v>1.1756</v>
      </c>
      <c r="E34" s="5">
        <v>1.1901999999999999</v>
      </c>
      <c r="F34" s="5">
        <v>1.234</v>
      </c>
      <c r="G34" s="5">
        <v>1.2083999999999999</v>
      </c>
      <c r="H34" s="5">
        <v>1.1919</v>
      </c>
      <c r="I34" s="5">
        <v>1.2015</v>
      </c>
      <c r="J34" s="5">
        <v>1.1564000000000001</v>
      </c>
      <c r="K34" s="5">
        <v>1.1484000000000001</v>
      </c>
      <c r="L34" s="5">
        <v>1.1411</v>
      </c>
      <c r="M34" s="5">
        <v>1.1742999999999999</v>
      </c>
      <c r="N34" s="5">
        <v>1.1487000000000001</v>
      </c>
      <c r="O34" s="5">
        <v>1.1302000000000001</v>
      </c>
      <c r="P34" s="5">
        <v>1.1872</v>
      </c>
      <c r="Q34" s="5">
        <v>1.1914</v>
      </c>
      <c r="R34" s="5">
        <v>1.2294</v>
      </c>
      <c r="S34" s="5">
        <v>1.2114</v>
      </c>
      <c r="T34" s="5">
        <v>1.1961999999999999</v>
      </c>
      <c r="U34" s="5">
        <v>1.206</v>
      </c>
      <c r="V34" s="5">
        <v>1.1589</v>
      </c>
      <c r="W34" s="5">
        <v>1.1500999999999999</v>
      </c>
      <c r="X34" s="5">
        <v>1.1411</v>
      </c>
      <c r="Y34" s="5">
        <v>1.1725000000000001</v>
      </c>
      <c r="Z34" s="5">
        <v>1.143</v>
      </c>
      <c r="AA34" s="5">
        <v>1.1299999999999999</v>
      </c>
      <c r="AB34" s="5">
        <v>1.1839</v>
      </c>
      <c r="AC34" s="5">
        <v>1.1929000000000001</v>
      </c>
      <c r="AD34" s="5">
        <v>1.23</v>
      </c>
      <c r="AE34" s="5">
        <v>1.2150000000000001</v>
      </c>
      <c r="AF34" s="5">
        <v>1.2003999999999999</v>
      </c>
      <c r="AG34" s="5">
        <v>1.2089000000000001</v>
      </c>
      <c r="AH34" s="5">
        <v>1.1616</v>
      </c>
      <c r="AI34" s="5">
        <v>1.1514</v>
      </c>
      <c r="AJ34" s="5">
        <v>1.1415999999999999</v>
      </c>
      <c r="AK34" s="5">
        <v>1.1724000000000001</v>
      </c>
      <c r="AL34" s="5">
        <v>1.1418999999999999</v>
      </c>
      <c r="AM34" s="5">
        <v>1.1309</v>
      </c>
      <c r="AN34" s="5">
        <v>1.1835</v>
      </c>
      <c r="AO34" s="5">
        <v>1.1923999999999999</v>
      </c>
      <c r="AP34" s="5">
        <v>1.2294</v>
      </c>
      <c r="AQ34" s="5">
        <v>1.2157</v>
      </c>
      <c r="AR34" s="5">
        <v>1.2015</v>
      </c>
      <c r="AS34" s="5">
        <v>1.2099</v>
      </c>
      <c r="AT34" s="5">
        <v>1.1627000000000001</v>
      </c>
      <c r="AU34" s="5">
        <v>1.1520999999999999</v>
      </c>
      <c r="AV34" s="5">
        <v>1.1417999999999999</v>
      </c>
      <c r="AW34" s="5">
        <v>1.1719999999999999</v>
      </c>
      <c r="AX34" s="5">
        <v>1.1389</v>
      </c>
      <c r="AY34" s="5">
        <v>1.137</v>
      </c>
      <c r="AZ34" s="5">
        <v>1.1709000000000001</v>
      </c>
      <c r="BA34" s="5">
        <v>1.1910000000000001</v>
      </c>
      <c r="BB34" s="5">
        <v>1.2274</v>
      </c>
      <c r="BC34" s="5">
        <v>1.2151000000000001</v>
      </c>
      <c r="BD34" s="5">
        <v>1.2016</v>
      </c>
      <c r="BE34" s="5">
        <v>1.2101</v>
      </c>
      <c r="BF34" s="5">
        <v>1.1633</v>
      </c>
      <c r="BG34" s="5">
        <v>1.1524000000000001</v>
      </c>
      <c r="BH34" s="5">
        <v>1.1416999999999999</v>
      </c>
      <c r="BI34" s="5">
        <v>1.1712</v>
      </c>
      <c r="BJ34" s="5">
        <v>1.1375999999999999</v>
      </c>
      <c r="BK34" s="5">
        <v>1.1297999999999999</v>
      </c>
      <c r="BL34" s="5">
        <v>1.1807000000000001</v>
      </c>
      <c r="BM34" s="5">
        <v>1.19</v>
      </c>
      <c r="BN34" s="5">
        <v>1.2258</v>
      </c>
      <c r="BO34" s="5">
        <v>1.2150000000000001</v>
      </c>
      <c r="BP34" s="5">
        <v>1.2020999999999999</v>
      </c>
      <c r="BQ34" s="5">
        <v>1.2102999999999999</v>
      </c>
      <c r="BR34" s="5">
        <v>1.1639999999999999</v>
      </c>
      <c r="BS34" s="5">
        <v>1.1528</v>
      </c>
      <c r="BT34" s="5">
        <v>1.1415999999999999</v>
      </c>
      <c r="BU34" s="5">
        <v>1.1709000000000001</v>
      </c>
      <c r="BV34" s="5">
        <v>1.1368</v>
      </c>
      <c r="BW34" s="5">
        <v>1.1302000000000001</v>
      </c>
      <c r="BX34" s="5">
        <v>1.1801999999999999</v>
      </c>
      <c r="BY34" s="5">
        <v>1.1893</v>
      </c>
      <c r="BZ34" s="5">
        <v>1.2249000000000001</v>
      </c>
      <c r="CA34" s="5">
        <v>1.2155</v>
      </c>
      <c r="CB34" s="5">
        <v>1.2030000000000001</v>
      </c>
      <c r="CC34" s="5">
        <v>1.2111000000000001</v>
      </c>
      <c r="CD34" s="5">
        <v>1.165</v>
      </c>
      <c r="CE34" s="5">
        <v>1.1535</v>
      </c>
      <c r="CF34" s="5">
        <v>1.1419999999999999</v>
      </c>
      <c r="CG34" s="5">
        <v>1.1709000000000001</v>
      </c>
      <c r="CH34" s="5">
        <v>1.1358999999999999</v>
      </c>
      <c r="CI34" s="5">
        <v>1.1304000000000001</v>
      </c>
      <c r="CJ34" s="5">
        <v>1.1793</v>
      </c>
      <c r="CK34" s="5">
        <v>1.1884999999999999</v>
      </c>
      <c r="CL34" s="5">
        <v>1.2234</v>
      </c>
      <c r="CM34" s="5">
        <v>1.2158</v>
      </c>
      <c r="CN34" s="5">
        <v>1.2029000000000001</v>
      </c>
      <c r="CO34" s="5">
        <v>1.2110000000000001</v>
      </c>
      <c r="CP34" s="5">
        <v>1.1648000000000001</v>
      </c>
      <c r="CQ34" s="5">
        <v>1.1533</v>
      </c>
      <c r="CR34" s="5">
        <v>1.1406000000000001</v>
      </c>
      <c r="CS34" s="5">
        <v>1.1696</v>
      </c>
      <c r="CT34" s="5">
        <v>1.1347</v>
      </c>
      <c r="CU34" s="5">
        <v>1.1344000000000001</v>
      </c>
      <c r="CV34" s="5">
        <v>1.1674</v>
      </c>
      <c r="CW34" s="5">
        <v>1.1868000000000001</v>
      </c>
      <c r="CX34" s="5">
        <v>1.2215</v>
      </c>
      <c r="CY34" s="5">
        <v>1.2149000000000001</v>
      </c>
      <c r="CZ34" s="5">
        <v>1.202</v>
      </c>
      <c r="DA34" s="5">
        <v>1.2102999999999999</v>
      </c>
      <c r="DB34" s="5">
        <v>1.1641999999999999</v>
      </c>
      <c r="DC34" s="5">
        <v>1.1528</v>
      </c>
      <c r="DD34" s="5">
        <v>1.1399999999999999</v>
      </c>
      <c r="DE34" s="5">
        <v>1.1685000000000001</v>
      </c>
      <c r="DF34" s="5">
        <v>1.1328</v>
      </c>
      <c r="DG34" s="5">
        <v>1.1272</v>
      </c>
      <c r="DH34" s="5">
        <v>1.1761999999999999</v>
      </c>
      <c r="DI34" s="5">
        <v>1.1850000000000001</v>
      </c>
      <c r="DJ34" s="5">
        <v>1.2193000000000001</v>
      </c>
      <c r="DK34" s="5">
        <v>1.2141</v>
      </c>
      <c r="DL34" s="5">
        <v>1.2007000000000001</v>
      </c>
      <c r="DM34" s="5">
        <v>1.2094</v>
      </c>
      <c r="DN34" s="5">
        <v>1.1632</v>
      </c>
      <c r="DO34" s="5">
        <v>1.1519999999999999</v>
      </c>
      <c r="DP34" s="5">
        <v>1.1393</v>
      </c>
      <c r="DQ34" s="5">
        <v>1.1672</v>
      </c>
      <c r="DR34" s="5">
        <v>1.1315999999999999</v>
      </c>
      <c r="DS34" s="5">
        <v>1.1255999999999999</v>
      </c>
      <c r="DT34" s="5">
        <v>1.1746000000000001</v>
      </c>
      <c r="DU34" s="5">
        <v>1.1832</v>
      </c>
      <c r="DV34" s="5">
        <v>1.2171000000000001</v>
      </c>
      <c r="DW34" s="5">
        <v>1.2135</v>
      </c>
      <c r="DX34" s="5">
        <v>1.1997</v>
      </c>
      <c r="DY34" s="5">
        <v>1.2084999999999999</v>
      </c>
      <c r="DZ34" s="5">
        <v>1.1621999999999999</v>
      </c>
      <c r="EA34" s="5">
        <v>1.1513</v>
      </c>
      <c r="EB34" s="5">
        <v>1.1386000000000001</v>
      </c>
      <c r="EC34" s="5">
        <v>1.1658999999999999</v>
      </c>
      <c r="ED34" s="5">
        <v>1.1304000000000001</v>
      </c>
      <c r="EE34" s="5">
        <v>1.1242000000000001</v>
      </c>
      <c r="EF34" s="5">
        <v>1.1731</v>
      </c>
      <c r="EG34" s="5">
        <v>1.1814</v>
      </c>
      <c r="EH34" s="5">
        <v>1.2153</v>
      </c>
      <c r="EI34" s="5">
        <v>1.2131000000000001</v>
      </c>
      <c r="EJ34" s="5">
        <v>1.1989000000000001</v>
      </c>
      <c r="EK34" s="5">
        <v>1.208</v>
      </c>
      <c r="EL34" s="5">
        <v>1.1615</v>
      </c>
      <c r="EM34" s="5">
        <v>1.1506000000000001</v>
      </c>
      <c r="EN34" s="5">
        <v>1.1380999999999999</v>
      </c>
      <c r="EO34" s="5">
        <v>1.1639999999999999</v>
      </c>
      <c r="EP34" s="5">
        <v>1.1294</v>
      </c>
      <c r="EQ34" s="5">
        <v>1.1267</v>
      </c>
      <c r="ER34" s="5">
        <v>1.1620999999999999</v>
      </c>
      <c r="ES34" s="5">
        <v>1.1797</v>
      </c>
      <c r="ET34" s="5">
        <v>1.2133</v>
      </c>
      <c r="EU34" s="5">
        <v>1.2823</v>
      </c>
      <c r="EV34" s="5">
        <v>1.1982999999999999</v>
      </c>
      <c r="EW34" s="5">
        <v>1.2073</v>
      </c>
      <c r="EX34" s="5">
        <v>1.1607000000000001</v>
      </c>
      <c r="EY34" s="5">
        <v>1.1499999999999999</v>
      </c>
      <c r="EZ34" s="5">
        <v>1.1375999999999999</v>
      </c>
      <c r="FA34" s="5">
        <v>1.1631</v>
      </c>
      <c r="FB34" s="5">
        <v>1.1281000000000001</v>
      </c>
      <c r="FC34" s="5">
        <v>1.1215999999999999</v>
      </c>
      <c r="FD34" s="5">
        <v>1.1701999999999999</v>
      </c>
      <c r="FE34" s="5">
        <v>1.1781999999999999</v>
      </c>
      <c r="FF34" s="5">
        <v>1.2114</v>
      </c>
      <c r="FG34" s="5">
        <v>1.2121999999999999</v>
      </c>
      <c r="FH34" s="5">
        <v>1.1977</v>
      </c>
      <c r="FI34" s="5">
        <v>1.2062999999999999</v>
      </c>
      <c r="FJ34" s="5">
        <v>1.1597</v>
      </c>
      <c r="FK34" s="5">
        <v>1.1492</v>
      </c>
      <c r="FL34" s="5">
        <v>1.137</v>
      </c>
      <c r="FM34" s="5">
        <v>1.1618999999999999</v>
      </c>
      <c r="FN34" s="5">
        <v>1.1281000000000001</v>
      </c>
      <c r="FO34" s="5">
        <v>1.1165</v>
      </c>
      <c r="FP34" s="5">
        <v>1.1693</v>
      </c>
      <c r="FQ34" s="5">
        <v>1.177</v>
      </c>
      <c r="FR34" s="5">
        <v>1.2098</v>
      </c>
      <c r="FS34" s="5">
        <v>1.2119</v>
      </c>
      <c r="FT34" s="5">
        <v>1.1974</v>
      </c>
      <c r="FU34" s="5">
        <v>1.2060999999999999</v>
      </c>
      <c r="FV34" s="5">
        <v>1.1589</v>
      </c>
      <c r="FW34" s="5">
        <v>1.1488</v>
      </c>
      <c r="FX34" s="5">
        <v>1.1367</v>
      </c>
      <c r="FY34" s="5">
        <v>1.1612</v>
      </c>
    </row>
    <row r="35" spans="1:181" x14ac:dyDescent="0.3">
      <c r="A35" s="2">
        <v>3</v>
      </c>
      <c r="B35" s="5">
        <v>0.97340000000000004</v>
      </c>
      <c r="C35" s="5">
        <v>0.95050000000000001</v>
      </c>
      <c r="D35" s="5">
        <v>0.96360000000000001</v>
      </c>
      <c r="E35" s="5">
        <v>0.93859999999999999</v>
      </c>
      <c r="F35" s="5">
        <v>0.95220000000000005</v>
      </c>
      <c r="G35" s="5">
        <v>0.93879999999999997</v>
      </c>
      <c r="H35" s="5">
        <v>0.94350000000000001</v>
      </c>
      <c r="I35" s="5">
        <v>0.93689999999999996</v>
      </c>
      <c r="J35" s="5">
        <v>0.95369999999999999</v>
      </c>
      <c r="K35" s="5">
        <v>0.94720000000000004</v>
      </c>
      <c r="L35" s="5">
        <v>0.95679999999999998</v>
      </c>
      <c r="M35" s="5">
        <v>0.96150000000000002</v>
      </c>
      <c r="N35" s="5">
        <v>0.97170000000000001</v>
      </c>
      <c r="O35" s="5">
        <v>0.96</v>
      </c>
      <c r="P35" s="5">
        <v>0.95409999999999995</v>
      </c>
      <c r="Q35" s="5">
        <v>0.93230000000000002</v>
      </c>
      <c r="R35" s="5">
        <v>0.92779999999999996</v>
      </c>
      <c r="S35" s="5">
        <v>0.93530000000000002</v>
      </c>
      <c r="T35" s="5">
        <v>0.94159999999999999</v>
      </c>
      <c r="U35" s="5">
        <v>0.93389999999999995</v>
      </c>
      <c r="V35" s="5">
        <v>0.95369999999999999</v>
      </c>
      <c r="W35" s="5">
        <v>0.9446</v>
      </c>
      <c r="X35" s="5">
        <v>0.95509999999999995</v>
      </c>
      <c r="Y35" s="5">
        <v>0.96009999999999995</v>
      </c>
      <c r="Z35" s="5">
        <v>0.97</v>
      </c>
      <c r="AA35" s="5">
        <v>0.96189999999999998</v>
      </c>
      <c r="AB35" s="5">
        <v>0.95350000000000001</v>
      </c>
      <c r="AC35" s="5">
        <v>0.93069999999999997</v>
      </c>
      <c r="AD35" s="5">
        <v>0.92269999999999996</v>
      </c>
      <c r="AE35" s="5">
        <v>0.93410000000000004</v>
      </c>
      <c r="AF35" s="5">
        <v>0.94169999999999998</v>
      </c>
      <c r="AG35" s="5">
        <v>0.93259999999999998</v>
      </c>
      <c r="AH35" s="5">
        <v>0.95420000000000005</v>
      </c>
      <c r="AI35" s="5">
        <v>0.94320000000000004</v>
      </c>
      <c r="AJ35" s="5">
        <v>0.95389999999999997</v>
      </c>
      <c r="AK35" s="5">
        <v>0.95889999999999997</v>
      </c>
      <c r="AL35" s="5">
        <v>0.9698</v>
      </c>
      <c r="AM35" s="5">
        <v>0.96209999999999996</v>
      </c>
      <c r="AN35" s="5">
        <v>0.95320000000000005</v>
      </c>
      <c r="AO35" s="5">
        <v>0.93</v>
      </c>
      <c r="AP35" s="5">
        <v>0.92090000000000005</v>
      </c>
      <c r="AQ35" s="5">
        <v>0.93359999999999999</v>
      </c>
      <c r="AR35" s="5">
        <v>0.94140000000000001</v>
      </c>
      <c r="AS35" s="5">
        <v>0.93179999999999996</v>
      </c>
      <c r="AT35" s="5">
        <v>0.95440000000000003</v>
      </c>
      <c r="AU35" s="5">
        <v>0.9425</v>
      </c>
      <c r="AV35" s="5">
        <v>0.95320000000000005</v>
      </c>
      <c r="AW35" s="5">
        <v>0.95820000000000005</v>
      </c>
      <c r="AX35" s="5">
        <v>0.96940000000000004</v>
      </c>
      <c r="AY35" s="5">
        <v>0.9546</v>
      </c>
      <c r="AZ35" s="5">
        <v>0.95779999999999998</v>
      </c>
      <c r="BA35" s="5">
        <v>0.92969999999999997</v>
      </c>
      <c r="BB35" s="5">
        <v>0.92030000000000001</v>
      </c>
      <c r="BC35" s="5">
        <v>0.93320000000000003</v>
      </c>
      <c r="BD35" s="5">
        <v>0.94110000000000005</v>
      </c>
      <c r="BE35" s="5">
        <v>0.93140000000000001</v>
      </c>
      <c r="BF35" s="5">
        <v>0.9546</v>
      </c>
      <c r="BG35" s="5">
        <v>0.94199999999999995</v>
      </c>
      <c r="BH35" s="5">
        <v>0.95269999999999999</v>
      </c>
      <c r="BI35" s="5">
        <v>0.95779999999999998</v>
      </c>
      <c r="BJ35" s="5">
        <v>0.96889999999999998</v>
      </c>
      <c r="BK35" s="5">
        <v>0.96220000000000006</v>
      </c>
      <c r="BL35" s="5">
        <v>0.95279999999999998</v>
      </c>
      <c r="BM35" s="5">
        <v>0.9294</v>
      </c>
      <c r="BN35" s="5">
        <v>0.91969999999999996</v>
      </c>
      <c r="BO35" s="5">
        <v>0.93279999999999996</v>
      </c>
      <c r="BP35" s="5">
        <v>0.94079999999999997</v>
      </c>
      <c r="BQ35" s="5">
        <v>0.93089999999999995</v>
      </c>
      <c r="BR35" s="5">
        <v>0.95450000000000002</v>
      </c>
      <c r="BS35" s="5">
        <v>0.9415</v>
      </c>
      <c r="BT35" s="5">
        <v>0.95189999999999997</v>
      </c>
      <c r="BU35" s="5">
        <v>0.95720000000000005</v>
      </c>
      <c r="BV35" s="5">
        <v>0.96879999999999999</v>
      </c>
      <c r="BW35" s="5">
        <v>0.96240000000000003</v>
      </c>
      <c r="BX35" s="5">
        <v>0.9526</v>
      </c>
      <c r="BY35" s="5">
        <v>0.92900000000000005</v>
      </c>
      <c r="BZ35" s="5">
        <v>0.91890000000000005</v>
      </c>
      <c r="CA35" s="5">
        <v>0.93200000000000005</v>
      </c>
      <c r="CB35" s="5">
        <v>0.94040000000000001</v>
      </c>
      <c r="CC35" s="5">
        <v>0.93020000000000003</v>
      </c>
      <c r="CD35" s="5">
        <v>0.9546</v>
      </c>
      <c r="CE35" s="5">
        <v>0.94079999999999997</v>
      </c>
      <c r="CF35" s="5">
        <v>0.95099999999999996</v>
      </c>
      <c r="CG35" s="5">
        <v>0.95679999999999998</v>
      </c>
      <c r="CH35" s="5">
        <v>0.96870000000000001</v>
      </c>
      <c r="CI35" s="5">
        <v>0.96230000000000004</v>
      </c>
      <c r="CJ35" s="5">
        <v>0.95240000000000002</v>
      </c>
      <c r="CK35" s="5">
        <v>0.92869999999999997</v>
      </c>
      <c r="CL35" s="5">
        <v>0.91849999999999998</v>
      </c>
      <c r="CM35" s="5">
        <v>0.93149999999999999</v>
      </c>
      <c r="CN35" s="5">
        <v>0.93959999999999999</v>
      </c>
      <c r="CO35" s="5">
        <v>0.92959999999999998</v>
      </c>
      <c r="CP35" s="5">
        <v>0.95440000000000003</v>
      </c>
      <c r="CQ35" s="5">
        <v>0.94069999999999998</v>
      </c>
      <c r="CR35" s="5">
        <v>0.95069999999999999</v>
      </c>
      <c r="CS35" s="5">
        <v>0.95650000000000002</v>
      </c>
      <c r="CT35" s="5">
        <v>0.96870000000000001</v>
      </c>
      <c r="CU35" s="5">
        <v>0.95350000000000001</v>
      </c>
      <c r="CV35" s="5">
        <v>0.95720000000000005</v>
      </c>
      <c r="CW35" s="5">
        <v>0.92869999999999997</v>
      </c>
      <c r="CX35" s="5">
        <v>0.91859999999999997</v>
      </c>
      <c r="CY35" s="5">
        <v>0.93069999999999997</v>
      </c>
      <c r="CZ35" s="5">
        <v>0.93869999999999998</v>
      </c>
      <c r="DA35" s="5">
        <v>0.92900000000000005</v>
      </c>
      <c r="DB35" s="5">
        <v>0.95420000000000005</v>
      </c>
      <c r="DC35" s="5">
        <v>0.9405</v>
      </c>
      <c r="DD35" s="5">
        <v>0.95040000000000002</v>
      </c>
      <c r="DE35" s="5">
        <v>0.95650000000000002</v>
      </c>
      <c r="DF35" s="5">
        <v>0.96909999999999996</v>
      </c>
      <c r="DG35" s="5">
        <v>0.96179999999999999</v>
      </c>
      <c r="DH35" s="5">
        <v>0.9526</v>
      </c>
      <c r="DI35" s="5">
        <v>0.92910000000000004</v>
      </c>
      <c r="DJ35" s="5">
        <v>0.91890000000000005</v>
      </c>
      <c r="DK35" s="5">
        <v>0.93010000000000004</v>
      </c>
      <c r="DL35" s="5">
        <v>0.93779999999999997</v>
      </c>
      <c r="DM35" s="5">
        <v>0.92849999999999999</v>
      </c>
      <c r="DN35" s="5">
        <v>0.95379999999999998</v>
      </c>
      <c r="DO35" s="5">
        <v>0.94040000000000001</v>
      </c>
      <c r="DP35" s="5">
        <v>0.95030000000000003</v>
      </c>
      <c r="DQ35" s="5">
        <v>0.95650000000000002</v>
      </c>
      <c r="DR35" s="5">
        <v>0.96930000000000005</v>
      </c>
      <c r="DS35" s="5">
        <v>0.9617</v>
      </c>
      <c r="DT35" s="5">
        <v>0.95289999999999997</v>
      </c>
      <c r="DU35" s="5">
        <v>0.9294</v>
      </c>
      <c r="DV35" s="5">
        <v>0.91920000000000002</v>
      </c>
      <c r="DW35" s="5">
        <v>0.92969999999999997</v>
      </c>
      <c r="DX35" s="5">
        <v>0.93669999999999998</v>
      </c>
      <c r="DY35" s="5">
        <v>0.92789999999999995</v>
      </c>
      <c r="DZ35" s="5">
        <v>0.95350000000000001</v>
      </c>
      <c r="EA35" s="5">
        <v>0.94040000000000001</v>
      </c>
      <c r="EB35" s="5">
        <v>0.95020000000000004</v>
      </c>
      <c r="EC35" s="5">
        <v>0.95640000000000003</v>
      </c>
      <c r="ED35" s="5">
        <v>0.96950000000000003</v>
      </c>
      <c r="EE35" s="5">
        <v>0.96150000000000002</v>
      </c>
      <c r="EF35" s="5">
        <v>0.95309999999999995</v>
      </c>
      <c r="EG35" s="5">
        <v>0.92959999999999998</v>
      </c>
      <c r="EH35" s="5">
        <v>0.91949999999999998</v>
      </c>
      <c r="EI35" s="5">
        <v>0.92910000000000004</v>
      </c>
      <c r="EJ35" s="5">
        <v>0.93569999999999998</v>
      </c>
      <c r="EK35" s="5">
        <v>0.92730000000000001</v>
      </c>
      <c r="EL35" s="5">
        <v>0.95320000000000005</v>
      </c>
      <c r="EM35" s="5">
        <v>0.94040000000000001</v>
      </c>
      <c r="EN35" s="5">
        <v>0.95009999999999994</v>
      </c>
      <c r="EO35" s="5">
        <v>0.95640000000000003</v>
      </c>
      <c r="EP35" s="5">
        <v>0.96970000000000001</v>
      </c>
      <c r="EQ35" s="5">
        <v>0.95289999999999997</v>
      </c>
      <c r="ER35" s="5">
        <v>0.95799999999999996</v>
      </c>
      <c r="ES35" s="5">
        <v>0.92989999999999995</v>
      </c>
      <c r="ET35" s="5">
        <v>0.91990000000000005</v>
      </c>
      <c r="EU35" s="5">
        <v>0.99360000000000004</v>
      </c>
      <c r="EV35" s="5">
        <v>0.93459999999999999</v>
      </c>
      <c r="EW35" s="5">
        <v>0.92669999999999997</v>
      </c>
      <c r="EX35" s="5">
        <v>0.95289999999999997</v>
      </c>
      <c r="EY35" s="5">
        <v>0.94020000000000004</v>
      </c>
      <c r="EZ35" s="5">
        <v>0.95</v>
      </c>
      <c r="FA35" s="5">
        <v>0.95650000000000002</v>
      </c>
      <c r="FB35" s="5">
        <v>0.96989999999999998</v>
      </c>
      <c r="FC35" s="5">
        <v>0.96120000000000005</v>
      </c>
      <c r="FD35" s="5">
        <v>0.95350000000000001</v>
      </c>
      <c r="FE35" s="5">
        <v>0.93020000000000003</v>
      </c>
      <c r="FF35" s="5">
        <v>0.92020000000000002</v>
      </c>
      <c r="FG35" s="5">
        <v>0.92820000000000003</v>
      </c>
      <c r="FH35" s="5">
        <v>0.93379999999999996</v>
      </c>
      <c r="FI35" s="5">
        <v>0.92620000000000002</v>
      </c>
      <c r="FJ35" s="5">
        <v>0.95240000000000002</v>
      </c>
      <c r="FK35" s="5">
        <v>0.94020000000000004</v>
      </c>
      <c r="FL35" s="5">
        <v>0.94989999999999997</v>
      </c>
      <c r="FM35" s="5">
        <v>0.95660000000000001</v>
      </c>
      <c r="FN35" s="5">
        <v>0.97</v>
      </c>
      <c r="FO35" s="5">
        <v>0.96150000000000002</v>
      </c>
      <c r="FP35" s="5">
        <v>0.9536</v>
      </c>
      <c r="FQ35" s="5">
        <v>0.9304</v>
      </c>
      <c r="FR35" s="5">
        <v>0.9204</v>
      </c>
      <c r="FS35" s="5">
        <v>0.92789999999999995</v>
      </c>
      <c r="FT35" s="5">
        <v>0.93289999999999995</v>
      </c>
      <c r="FU35" s="5">
        <v>0.92579999999999996</v>
      </c>
      <c r="FV35" s="5">
        <v>0.95199999999999996</v>
      </c>
      <c r="FW35" s="5">
        <v>0.94</v>
      </c>
      <c r="FX35" s="5">
        <v>0.9496</v>
      </c>
      <c r="FY35" s="5">
        <v>0.95650000000000002</v>
      </c>
    </row>
    <row r="36" spans="1:181" x14ac:dyDescent="0.3">
      <c r="A36" s="2">
        <v>4</v>
      </c>
      <c r="B36" s="5">
        <v>0.6915</v>
      </c>
      <c r="C36" s="5">
        <v>0.76439999999999997</v>
      </c>
      <c r="D36" s="5">
        <v>0.74380000000000002</v>
      </c>
      <c r="E36" s="5">
        <v>0.751</v>
      </c>
      <c r="F36" s="5">
        <v>0.7581</v>
      </c>
      <c r="G36" s="5">
        <v>0.77359999999999995</v>
      </c>
      <c r="H36" s="5">
        <v>0.79469999999999996</v>
      </c>
      <c r="I36" s="5">
        <v>0.77990000000000004</v>
      </c>
      <c r="J36" s="5">
        <v>0.81269999999999998</v>
      </c>
      <c r="K36" s="5">
        <v>0.83989999999999998</v>
      </c>
      <c r="L36" s="5">
        <v>0.81120000000000003</v>
      </c>
      <c r="M36" s="5">
        <v>0.79010000000000002</v>
      </c>
      <c r="N36" s="5">
        <v>0.68240000000000001</v>
      </c>
      <c r="O36" s="5">
        <v>0.80879999999999996</v>
      </c>
      <c r="P36" s="5">
        <v>0.73029999999999995</v>
      </c>
      <c r="Q36" s="5">
        <v>0.745</v>
      </c>
      <c r="R36" s="5">
        <v>0.74</v>
      </c>
      <c r="S36" s="5">
        <v>0.77959999999999996</v>
      </c>
      <c r="T36" s="5">
        <v>0.8075</v>
      </c>
      <c r="U36" s="5">
        <v>0.79310000000000003</v>
      </c>
      <c r="V36" s="5">
        <v>0.82199999999999995</v>
      </c>
      <c r="W36" s="5">
        <v>0.84319999999999995</v>
      </c>
      <c r="X36" s="5">
        <v>0.81510000000000005</v>
      </c>
      <c r="Y36" s="5">
        <v>0.79339999999999999</v>
      </c>
      <c r="Z36" s="5">
        <v>0.68589999999999995</v>
      </c>
      <c r="AA36" s="5">
        <v>0.82369999999999999</v>
      </c>
      <c r="AB36" s="5">
        <v>0.73819999999999997</v>
      </c>
      <c r="AC36" s="5">
        <v>0.74750000000000005</v>
      </c>
      <c r="AD36" s="5">
        <v>0.73719999999999997</v>
      </c>
      <c r="AE36" s="5">
        <v>0.78169999999999995</v>
      </c>
      <c r="AF36" s="5">
        <v>0.81379999999999997</v>
      </c>
      <c r="AG36" s="5">
        <v>0.79930000000000001</v>
      </c>
      <c r="AH36" s="5">
        <v>0.82689999999999997</v>
      </c>
      <c r="AI36" s="5">
        <v>0.84499999999999997</v>
      </c>
      <c r="AJ36" s="5">
        <v>0.8165</v>
      </c>
      <c r="AK36" s="5">
        <v>0.7944</v>
      </c>
      <c r="AL36" s="5">
        <v>0.68540000000000001</v>
      </c>
      <c r="AM36" s="5">
        <v>0.82489999999999997</v>
      </c>
      <c r="AN36" s="5">
        <v>0.73809999999999998</v>
      </c>
      <c r="AO36" s="5">
        <v>0.74509999999999998</v>
      </c>
      <c r="AP36" s="5">
        <v>0.73350000000000004</v>
      </c>
      <c r="AQ36" s="5">
        <v>0.78</v>
      </c>
      <c r="AR36" s="5">
        <v>0.8115</v>
      </c>
      <c r="AS36" s="5">
        <v>0.79810000000000003</v>
      </c>
      <c r="AT36" s="5">
        <v>0.82769999999999999</v>
      </c>
      <c r="AU36" s="5">
        <v>0.84499999999999997</v>
      </c>
      <c r="AV36" s="5">
        <v>0.8155</v>
      </c>
      <c r="AW36" s="5">
        <v>0.79349999999999998</v>
      </c>
      <c r="AX36" s="5">
        <v>0.6875</v>
      </c>
      <c r="AY36" s="5">
        <v>0.81440000000000001</v>
      </c>
      <c r="AZ36" s="5">
        <v>0.75060000000000004</v>
      </c>
      <c r="BA36" s="5">
        <v>0.74209999999999998</v>
      </c>
      <c r="BB36" s="5">
        <v>0.73129999999999995</v>
      </c>
      <c r="BC36" s="5">
        <v>0.77890000000000004</v>
      </c>
      <c r="BD36" s="5">
        <v>0.81</v>
      </c>
      <c r="BE36" s="5">
        <v>0.7954</v>
      </c>
      <c r="BF36" s="5">
        <v>0.82720000000000005</v>
      </c>
      <c r="BG36" s="5">
        <v>0.84489999999999998</v>
      </c>
      <c r="BH36" s="5">
        <v>0.81489999999999996</v>
      </c>
      <c r="BI36" s="5">
        <v>0.79359999999999997</v>
      </c>
      <c r="BJ36" s="5">
        <v>0.68799999999999994</v>
      </c>
      <c r="BK36" s="5">
        <v>0.82720000000000005</v>
      </c>
      <c r="BL36" s="5">
        <v>0.73919999999999997</v>
      </c>
      <c r="BM36" s="5">
        <v>0.73899999999999999</v>
      </c>
      <c r="BN36" s="5">
        <v>0.7298</v>
      </c>
      <c r="BO36" s="5">
        <v>0.77559999999999996</v>
      </c>
      <c r="BP36" s="5">
        <v>0.80779999999999996</v>
      </c>
      <c r="BQ36" s="5">
        <v>0.79210000000000003</v>
      </c>
      <c r="BR36" s="5">
        <v>0.82609999999999995</v>
      </c>
      <c r="BS36" s="5">
        <v>0.84409999999999996</v>
      </c>
      <c r="BT36" s="5">
        <v>0.81359999999999999</v>
      </c>
      <c r="BU36" s="5">
        <v>0.79269999999999996</v>
      </c>
      <c r="BV36" s="5">
        <v>0.68869999999999998</v>
      </c>
      <c r="BW36" s="5">
        <v>0.82789999999999997</v>
      </c>
      <c r="BX36" s="5">
        <v>0.7389</v>
      </c>
      <c r="BY36" s="5">
        <v>0.73560000000000003</v>
      </c>
      <c r="BZ36" s="5">
        <v>0.72740000000000005</v>
      </c>
      <c r="CA36" s="5">
        <v>0.77149999999999996</v>
      </c>
      <c r="CB36" s="5">
        <v>0.80489999999999995</v>
      </c>
      <c r="CC36" s="5">
        <v>0.78849999999999998</v>
      </c>
      <c r="CD36" s="5">
        <v>0.82509999999999994</v>
      </c>
      <c r="CE36" s="5">
        <v>0.84350000000000003</v>
      </c>
      <c r="CF36" s="5">
        <v>0.81200000000000006</v>
      </c>
      <c r="CG36" s="5">
        <v>0.79200000000000004</v>
      </c>
      <c r="CH36" s="5">
        <v>0.68869999999999998</v>
      </c>
      <c r="CI36" s="5">
        <v>0.82769999999999999</v>
      </c>
      <c r="CJ36" s="5">
        <v>0.73839999999999995</v>
      </c>
      <c r="CK36" s="5">
        <v>0.73280000000000001</v>
      </c>
      <c r="CL36" s="5">
        <v>0.72599999999999998</v>
      </c>
      <c r="CM36" s="5">
        <v>0.76749999999999996</v>
      </c>
      <c r="CN36" s="5">
        <v>0.80079999999999996</v>
      </c>
      <c r="CO36" s="5">
        <v>0.78390000000000004</v>
      </c>
      <c r="CP36" s="5">
        <v>0.82420000000000004</v>
      </c>
      <c r="CQ36" s="5">
        <v>0.84360000000000002</v>
      </c>
      <c r="CR36" s="5">
        <v>0.81200000000000006</v>
      </c>
      <c r="CS36" s="5">
        <v>0.7923</v>
      </c>
      <c r="CT36" s="5">
        <v>0.69059999999999999</v>
      </c>
      <c r="CU36" s="5">
        <v>0.8135</v>
      </c>
      <c r="CV36" s="5">
        <v>0.75019999999999998</v>
      </c>
      <c r="CW36" s="5">
        <v>0.73109999999999997</v>
      </c>
      <c r="CX36" s="5">
        <v>0.72629999999999995</v>
      </c>
      <c r="CY36" s="5">
        <v>0.76370000000000005</v>
      </c>
      <c r="CZ36" s="5">
        <v>0.79610000000000003</v>
      </c>
      <c r="DA36" s="5">
        <v>0.77729999999999999</v>
      </c>
      <c r="DB36" s="5">
        <v>0.82310000000000005</v>
      </c>
      <c r="DC36" s="5">
        <v>0.84319999999999995</v>
      </c>
      <c r="DD36" s="5">
        <v>0.81179999999999997</v>
      </c>
      <c r="DE36" s="5">
        <v>0.79310000000000003</v>
      </c>
      <c r="DF36" s="5">
        <v>0.69379999999999997</v>
      </c>
      <c r="DG36" s="5">
        <v>0.82840000000000003</v>
      </c>
      <c r="DH36" s="5">
        <v>0.74070000000000003</v>
      </c>
      <c r="DI36" s="5">
        <v>0.73070000000000002</v>
      </c>
      <c r="DJ36" s="5">
        <v>0.72629999999999995</v>
      </c>
      <c r="DK36" s="5">
        <v>0.75970000000000004</v>
      </c>
      <c r="DL36" s="5">
        <v>0.79069999999999996</v>
      </c>
      <c r="DM36" s="5">
        <v>0.77129999999999999</v>
      </c>
      <c r="DN36" s="5">
        <v>0.82179999999999997</v>
      </c>
      <c r="DO36" s="5">
        <v>0.84309999999999996</v>
      </c>
      <c r="DP36" s="5">
        <v>0.81140000000000001</v>
      </c>
      <c r="DQ36" s="5">
        <v>0.79359999999999997</v>
      </c>
      <c r="DR36" s="5">
        <v>0.69569999999999999</v>
      </c>
      <c r="DS36" s="5">
        <v>0.82850000000000001</v>
      </c>
      <c r="DT36" s="5">
        <v>0.7419</v>
      </c>
      <c r="DU36" s="5">
        <v>0.72989999999999999</v>
      </c>
      <c r="DV36" s="5">
        <v>0.72670000000000001</v>
      </c>
      <c r="DW36" s="5">
        <v>0.75590000000000002</v>
      </c>
      <c r="DX36" s="5">
        <v>0.78280000000000005</v>
      </c>
      <c r="DY36" s="5">
        <v>0.76459999999999995</v>
      </c>
      <c r="DZ36" s="5">
        <v>0.82040000000000002</v>
      </c>
      <c r="EA36" s="5">
        <v>0.8427</v>
      </c>
      <c r="EB36" s="5">
        <v>0.81120000000000003</v>
      </c>
      <c r="EC36" s="5">
        <v>0.79390000000000005</v>
      </c>
      <c r="ED36" s="5">
        <v>0.69769999999999999</v>
      </c>
      <c r="EE36" s="5">
        <v>0.82840000000000003</v>
      </c>
      <c r="EF36" s="5">
        <v>0.74260000000000004</v>
      </c>
      <c r="EG36" s="5">
        <v>0.72899999999999998</v>
      </c>
      <c r="EH36" s="5">
        <v>0.72709999999999997</v>
      </c>
      <c r="EI36" s="5">
        <v>0.75249999999999995</v>
      </c>
      <c r="EJ36" s="5">
        <v>0.77549999999999997</v>
      </c>
      <c r="EK36" s="5">
        <v>0.75829999999999997</v>
      </c>
      <c r="EL36" s="5">
        <v>0.81869999999999998</v>
      </c>
      <c r="EM36" s="5">
        <v>0.84240000000000004</v>
      </c>
      <c r="EN36" s="5">
        <v>0.81130000000000002</v>
      </c>
      <c r="EO36" s="5">
        <v>0.79459999999999997</v>
      </c>
      <c r="EP36" s="5">
        <v>0.69989999999999997</v>
      </c>
      <c r="EQ36" s="5">
        <v>0.80720000000000003</v>
      </c>
      <c r="ER36" s="5">
        <v>0.75309999999999999</v>
      </c>
      <c r="ES36" s="5">
        <v>0.72829999999999995</v>
      </c>
      <c r="ET36" s="5">
        <v>0.7278</v>
      </c>
      <c r="EU36" s="5">
        <v>0.83750000000000002</v>
      </c>
      <c r="EV36" s="5">
        <v>0.76639999999999997</v>
      </c>
      <c r="EW36" s="5">
        <v>0.75309999999999999</v>
      </c>
      <c r="EX36" s="5">
        <v>0.81689999999999996</v>
      </c>
      <c r="EY36" s="5">
        <v>0.84179999999999999</v>
      </c>
      <c r="EZ36" s="5">
        <v>0.81130000000000002</v>
      </c>
      <c r="FA36" s="5">
        <v>0.79500000000000004</v>
      </c>
      <c r="FB36" s="5">
        <v>0.7016</v>
      </c>
      <c r="FC36" s="5">
        <v>0.82669999999999999</v>
      </c>
      <c r="FD36" s="5">
        <v>0.74370000000000003</v>
      </c>
      <c r="FE36" s="5">
        <v>0.72789999999999999</v>
      </c>
      <c r="FF36" s="5">
        <v>0.72819999999999996</v>
      </c>
      <c r="FG36" s="5">
        <v>0.74629999999999996</v>
      </c>
      <c r="FH36" s="5">
        <v>0.75849999999999995</v>
      </c>
      <c r="FI36" s="5">
        <v>0.74709999999999999</v>
      </c>
      <c r="FJ36" s="5">
        <v>0.81440000000000001</v>
      </c>
      <c r="FK36" s="5">
        <v>0.84140000000000004</v>
      </c>
      <c r="FL36" s="5">
        <v>0.81140000000000001</v>
      </c>
      <c r="FM36" s="5">
        <v>0.79549999999999998</v>
      </c>
      <c r="FN36" s="5">
        <v>0.69989999999999997</v>
      </c>
      <c r="FO36" s="5">
        <v>0.83350000000000002</v>
      </c>
      <c r="FP36" s="5">
        <v>0.74329999999999996</v>
      </c>
      <c r="FQ36" s="5">
        <v>0.72689999999999999</v>
      </c>
      <c r="FR36" s="5">
        <v>0.7288</v>
      </c>
      <c r="FS36" s="5">
        <v>0.74450000000000005</v>
      </c>
      <c r="FT36" s="5">
        <v>0.75119999999999998</v>
      </c>
      <c r="FU36" s="5">
        <v>0.74319999999999997</v>
      </c>
      <c r="FV36" s="5">
        <v>0.81179999999999997</v>
      </c>
      <c r="FW36" s="5">
        <v>0.84060000000000001</v>
      </c>
      <c r="FX36" s="5">
        <v>0.81059999999999999</v>
      </c>
      <c r="FY36" s="5">
        <v>0.79530000000000001</v>
      </c>
    </row>
    <row r="38" spans="1:181" x14ac:dyDescent="0.3">
      <c r="A38" s="4">
        <v>7</v>
      </c>
      <c r="B38" s="1">
        <v>45292</v>
      </c>
      <c r="C38" s="1">
        <v>45323</v>
      </c>
      <c r="D38" s="1">
        <v>45352</v>
      </c>
      <c r="E38" s="1">
        <v>45383</v>
      </c>
      <c r="F38" s="1">
        <v>45413</v>
      </c>
      <c r="G38" s="1">
        <v>45444</v>
      </c>
      <c r="H38" s="1">
        <v>45474</v>
      </c>
      <c r="I38" s="1">
        <v>45505</v>
      </c>
      <c r="J38" s="1">
        <v>45536</v>
      </c>
      <c r="K38" s="1">
        <v>45566</v>
      </c>
      <c r="L38" s="1">
        <v>45597</v>
      </c>
      <c r="M38" s="1">
        <v>45627</v>
      </c>
      <c r="N38" s="1">
        <v>45658</v>
      </c>
      <c r="O38" s="1">
        <v>45689</v>
      </c>
      <c r="P38" s="1">
        <v>45717</v>
      </c>
      <c r="Q38" s="1">
        <v>45748</v>
      </c>
      <c r="R38" s="1">
        <v>45778</v>
      </c>
      <c r="S38" s="1">
        <v>45809</v>
      </c>
      <c r="T38" s="1">
        <v>45839</v>
      </c>
      <c r="U38" s="1">
        <v>45870</v>
      </c>
      <c r="V38" s="1">
        <v>45901</v>
      </c>
      <c r="W38" s="1">
        <v>45931</v>
      </c>
      <c r="X38" s="1">
        <v>45962</v>
      </c>
      <c r="Y38" s="1">
        <v>45992</v>
      </c>
      <c r="Z38" s="1">
        <v>46023</v>
      </c>
      <c r="AA38" s="1">
        <v>46054</v>
      </c>
      <c r="AB38" s="1">
        <v>46082</v>
      </c>
      <c r="AC38" s="1">
        <v>46113</v>
      </c>
      <c r="AD38" s="1">
        <v>46143</v>
      </c>
      <c r="AE38" s="1">
        <v>46174</v>
      </c>
      <c r="AF38" s="1">
        <v>46204</v>
      </c>
      <c r="AG38" s="1">
        <v>46235</v>
      </c>
      <c r="AH38" s="1">
        <v>46266</v>
      </c>
      <c r="AI38" s="1">
        <v>46296</v>
      </c>
      <c r="AJ38" s="1">
        <v>46327</v>
      </c>
      <c r="AK38" s="1">
        <v>46357</v>
      </c>
      <c r="AL38" s="1">
        <v>46388</v>
      </c>
      <c r="AM38" s="1">
        <v>46419</v>
      </c>
      <c r="AN38" s="1">
        <v>46447</v>
      </c>
      <c r="AO38" s="1">
        <v>46478</v>
      </c>
      <c r="AP38" s="1">
        <v>46508</v>
      </c>
      <c r="AQ38" s="1">
        <v>46539</v>
      </c>
      <c r="AR38" s="1">
        <v>46569</v>
      </c>
      <c r="AS38" s="1">
        <v>46600</v>
      </c>
      <c r="AT38" s="1">
        <v>46631</v>
      </c>
      <c r="AU38" s="1">
        <v>46661</v>
      </c>
      <c r="AV38" s="1">
        <v>46692</v>
      </c>
      <c r="AW38" s="1">
        <v>46722</v>
      </c>
      <c r="AX38" s="1">
        <v>46753</v>
      </c>
      <c r="AY38" s="1">
        <v>46784</v>
      </c>
      <c r="AZ38" s="1">
        <v>46813</v>
      </c>
      <c r="BA38" s="1">
        <v>46844</v>
      </c>
      <c r="BB38" s="1">
        <v>46874</v>
      </c>
      <c r="BC38" s="1">
        <v>46905</v>
      </c>
      <c r="BD38" s="1">
        <v>46935</v>
      </c>
      <c r="BE38" s="1">
        <v>46966</v>
      </c>
      <c r="BF38" s="1">
        <v>46997</v>
      </c>
      <c r="BG38" s="1">
        <v>47027</v>
      </c>
      <c r="BH38" s="1">
        <v>47058</v>
      </c>
      <c r="BI38" s="1">
        <v>47088</v>
      </c>
      <c r="BJ38" s="1">
        <v>47119</v>
      </c>
      <c r="BK38" s="1">
        <v>47150</v>
      </c>
      <c r="BL38" s="1">
        <v>47178</v>
      </c>
      <c r="BM38" s="1">
        <v>47209</v>
      </c>
      <c r="BN38" s="1">
        <v>47239</v>
      </c>
      <c r="BO38" s="1">
        <v>47270</v>
      </c>
      <c r="BP38" s="1">
        <v>47300</v>
      </c>
      <c r="BQ38" s="1">
        <v>47331</v>
      </c>
      <c r="BR38" s="1">
        <v>47362</v>
      </c>
      <c r="BS38" s="1">
        <v>47392</v>
      </c>
      <c r="BT38" s="1">
        <v>47423</v>
      </c>
      <c r="BU38" s="1">
        <v>47453</v>
      </c>
      <c r="BV38" s="1">
        <v>47484</v>
      </c>
      <c r="BW38" s="1">
        <v>47515</v>
      </c>
      <c r="BX38" s="1">
        <v>47543</v>
      </c>
      <c r="BY38" s="1">
        <v>47574</v>
      </c>
      <c r="BZ38" s="1">
        <v>47604</v>
      </c>
      <c r="CA38" s="1">
        <v>47635</v>
      </c>
      <c r="CB38" s="1">
        <v>47665</v>
      </c>
      <c r="CC38" s="1">
        <v>47696</v>
      </c>
      <c r="CD38" s="1">
        <v>47727</v>
      </c>
      <c r="CE38" s="1">
        <v>47757</v>
      </c>
      <c r="CF38" s="1">
        <v>47788</v>
      </c>
      <c r="CG38" s="1">
        <v>47818</v>
      </c>
      <c r="CH38" s="1">
        <v>47849</v>
      </c>
      <c r="CI38" s="1">
        <v>47880</v>
      </c>
      <c r="CJ38" s="1">
        <v>47908</v>
      </c>
      <c r="CK38" s="1">
        <v>47939</v>
      </c>
      <c r="CL38" s="1">
        <v>47969</v>
      </c>
      <c r="CM38" s="1">
        <v>48000</v>
      </c>
      <c r="CN38" s="1">
        <v>48030</v>
      </c>
      <c r="CO38" s="1">
        <v>48061</v>
      </c>
      <c r="CP38" s="1">
        <v>48092</v>
      </c>
      <c r="CQ38" s="1">
        <v>48122</v>
      </c>
      <c r="CR38" s="1">
        <v>48153</v>
      </c>
      <c r="CS38" s="1">
        <v>48183</v>
      </c>
      <c r="CT38" s="1">
        <v>48214</v>
      </c>
      <c r="CU38" s="1">
        <v>48245</v>
      </c>
      <c r="CV38" s="1">
        <v>48274</v>
      </c>
      <c r="CW38" s="1">
        <v>48305</v>
      </c>
      <c r="CX38" s="1">
        <v>48335</v>
      </c>
      <c r="CY38" s="1">
        <v>48366</v>
      </c>
      <c r="CZ38" s="1">
        <v>48396</v>
      </c>
      <c r="DA38" s="1">
        <v>48427</v>
      </c>
      <c r="DB38" s="1">
        <v>48458</v>
      </c>
      <c r="DC38" s="1">
        <v>48488</v>
      </c>
      <c r="DD38" s="1">
        <v>48519</v>
      </c>
      <c r="DE38" s="1">
        <v>48549</v>
      </c>
      <c r="DF38" s="1">
        <v>48580</v>
      </c>
      <c r="DG38" s="1">
        <v>48611</v>
      </c>
      <c r="DH38" s="1">
        <v>48639</v>
      </c>
      <c r="DI38" s="1">
        <v>48670</v>
      </c>
      <c r="DJ38" s="1">
        <v>48700</v>
      </c>
      <c r="DK38" s="1">
        <v>48731</v>
      </c>
      <c r="DL38" s="1">
        <v>48761</v>
      </c>
      <c r="DM38" s="1">
        <v>48792</v>
      </c>
      <c r="DN38" s="1">
        <v>48823</v>
      </c>
      <c r="DO38" s="1">
        <v>48853</v>
      </c>
      <c r="DP38" s="1">
        <v>48884</v>
      </c>
      <c r="DQ38" s="1">
        <v>48914</v>
      </c>
      <c r="DR38" s="1">
        <v>48945</v>
      </c>
      <c r="DS38" s="1">
        <v>48976</v>
      </c>
      <c r="DT38" s="1">
        <v>49004</v>
      </c>
      <c r="DU38" s="1">
        <v>49035</v>
      </c>
      <c r="DV38" s="1">
        <v>49065</v>
      </c>
      <c r="DW38" s="1">
        <v>49096</v>
      </c>
      <c r="DX38" s="1">
        <v>49126</v>
      </c>
      <c r="DY38" s="1">
        <v>49157</v>
      </c>
      <c r="DZ38" s="1">
        <v>49188</v>
      </c>
      <c r="EA38" s="1">
        <v>49218</v>
      </c>
      <c r="EB38" s="1">
        <v>49249</v>
      </c>
      <c r="EC38" s="1">
        <v>49279</v>
      </c>
      <c r="ED38" s="1">
        <v>49310</v>
      </c>
      <c r="EE38" s="1">
        <v>49341</v>
      </c>
      <c r="EF38" s="1">
        <v>49369</v>
      </c>
      <c r="EG38" s="1">
        <v>49400</v>
      </c>
      <c r="EH38" s="1">
        <v>49430</v>
      </c>
      <c r="EI38" s="1">
        <v>49461</v>
      </c>
      <c r="EJ38" s="1">
        <v>49491</v>
      </c>
      <c r="EK38" s="1">
        <v>49522</v>
      </c>
      <c r="EL38" s="1">
        <v>49553</v>
      </c>
      <c r="EM38" s="1">
        <v>49583</v>
      </c>
      <c r="EN38" s="1">
        <v>49614</v>
      </c>
      <c r="EO38" s="1">
        <v>49644</v>
      </c>
      <c r="EP38" s="1">
        <v>49675</v>
      </c>
      <c r="EQ38" s="1">
        <v>49706</v>
      </c>
      <c r="ER38" s="1">
        <v>49735</v>
      </c>
      <c r="ES38" s="1">
        <v>49766</v>
      </c>
      <c r="ET38" s="1">
        <v>49796</v>
      </c>
      <c r="EU38" s="1">
        <v>49827</v>
      </c>
      <c r="EV38" s="1">
        <v>49857</v>
      </c>
      <c r="EW38" s="1">
        <v>49888</v>
      </c>
      <c r="EX38" s="1">
        <v>49919</v>
      </c>
      <c r="EY38" s="1">
        <v>49949</v>
      </c>
      <c r="EZ38" s="1">
        <v>49980</v>
      </c>
      <c r="FA38" s="1">
        <v>50010</v>
      </c>
      <c r="FB38" s="1">
        <v>50041</v>
      </c>
      <c r="FC38" s="1">
        <v>50072</v>
      </c>
      <c r="FD38" s="1">
        <v>50100</v>
      </c>
      <c r="FE38" s="1">
        <v>50131</v>
      </c>
      <c r="FF38" s="1">
        <v>50161</v>
      </c>
      <c r="FG38" s="1">
        <v>50192</v>
      </c>
      <c r="FH38" s="1">
        <v>50222</v>
      </c>
      <c r="FI38" s="1">
        <v>50253</v>
      </c>
      <c r="FJ38" s="1">
        <v>50284</v>
      </c>
      <c r="FK38" s="1">
        <v>50314</v>
      </c>
      <c r="FL38" s="1">
        <v>50345</v>
      </c>
      <c r="FM38" s="1">
        <v>50375</v>
      </c>
      <c r="FN38" s="1">
        <v>50406</v>
      </c>
      <c r="FO38" s="1">
        <v>50437</v>
      </c>
      <c r="FP38" s="1">
        <v>50465</v>
      </c>
      <c r="FQ38" s="1">
        <v>50496</v>
      </c>
      <c r="FR38" s="1">
        <v>50526</v>
      </c>
      <c r="FS38" s="1">
        <v>50557</v>
      </c>
      <c r="FT38" s="1">
        <v>50587</v>
      </c>
      <c r="FU38" s="1">
        <v>50618</v>
      </c>
      <c r="FV38" s="1">
        <v>50649</v>
      </c>
      <c r="FW38" s="1">
        <v>50679</v>
      </c>
      <c r="FX38" s="1">
        <v>50710</v>
      </c>
      <c r="FY38" s="1">
        <v>50740</v>
      </c>
    </row>
    <row r="39" spans="1:181" x14ac:dyDescent="0.3">
      <c r="A39" s="2">
        <v>1</v>
      </c>
      <c r="B39" s="5">
        <v>1.1169</v>
      </c>
      <c r="C39" s="5">
        <v>1.1685000000000001</v>
      </c>
      <c r="D39" s="5">
        <v>1.1609</v>
      </c>
      <c r="E39" s="5">
        <v>1.1326000000000001</v>
      </c>
      <c r="F39" s="5">
        <v>1.196</v>
      </c>
      <c r="G39" s="5">
        <v>1.1407</v>
      </c>
      <c r="H39" s="5">
        <v>1.1342000000000001</v>
      </c>
      <c r="I39" s="5">
        <v>1.1068</v>
      </c>
      <c r="J39" s="5">
        <v>1.0454000000000001</v>
      </c>
      <c r="K39" s="5">
        <v>1.1383000000000001</v>
      </c>
      <c r="L39" s="5">
        <v>1.2004999999999999</v>
      </c>
      <c r="M39" s="5">
        <v>1.1467000000000001</v>
      </c>
      <c r="N39" s="5">
        <v>1.1259999999999999</v>
      </c>
      <c r="O39" s="5">
        <v>1.1785000000000001</v>
      </c>
      <c r="P39" s="5">
        <v>1.1714</v>
      </c>
      <c r="Q39" s="5">
        <v>1.1443000000000001</v>
      </c>
      <c r="R39" s="5">
        <v>1.2063999999999999</v>
      </c>
      <c r="S39" s="5">
        <v>1.1540999999999999</v>
      </c>
      <c r="T39" s="5">
        <v>1.1489</v>
      </c>
      <c r="U39" s="5">
        <v>1.1226</v>
      </c>
      <c r="V39" s="5">
        <v>1.0581</v>
      </c>
      <c r="W39" s="5">
        <v>1.1478999999999999</v>
      </c>
      <c r="X39" s="5">
        <v>1.2111000000000001</v>
      </c>
      <c r="Y39" s="5">
        <v>1.1571</v>
      </c>
      <c r="Z39" s="5">
        <v>1.1364000000000001</v>
      </c>
      <c r="AA39" s="5">
        <v>1.1877</v>
      </c>
      <c r="AB39" s="5">
        <v>1.1820999999999999</v>
      </c>
      <c r="AC39" s="5">
        <v>1.1529</v>
      </c>
      <c r="AD39" s="5">
        <v>1.2136</v>
      </c>
      <c r="AE39" s="5">
        <v>1.1632</v>
      </c>
      <c r="AF39" s="5">
        <v>1.1567000000000001</v>
      </c>
      <c r="AG39" s="5">
        <v>1.1327</v>
      </c>
      <c r="AH39" s="5">
        <v>1.0666</v>
      </c>
      <c r="AI39" s="5">
        <v>1.1613</v>
      </c>
      <c r="AJ39" s="5">
        <v>1.2237</v>
      </c>
      <c r="AK39" s="5">
        <v>1.1705000000000001</v>
      </c>
      <c r="AL39" s="5">
        <v>1.1477999999999999</v>
      </c>
      <c r="AM39" s="5">
        <v>1.1993</v>
      </c>
      <c r="AN39" s="5">
        <v>1.1937</v>
      </c>
      <c r="AO39" s="5">
        <v>1.1634</v>
      </c>
      <c r="AP39" s="5">
        <v>1.2225999999999999</v>
      </c>
      <c r="AQ39" s="5">
        <v>1.1732</v>
      </c>
      <c r="AR39" s="5">
        <v>1.1664000000000001</v>
      </c>
      <c r="AS39" s="5">
        <v>1.1428</v>
      </c>
      <c r="AT39" s="5">
        <v>1.0764</v>
      </c>
      <c r="AU39" s="5">
        <v>1.1708000000000001</v>
      </c>
      <c r="AV39" s="5">
        <v>1.2326999999999999</v>
      </c>
      <c r="AW39" s="5">
        <v>1.1794</v>
      </c>
      <c r="AX39" s="5">
        <v>1.1865000000000001</v>
      </c>
      <c r="AY39" s="5">
        <v>1.2102999999999999</v>
      </c>
      <c r="AZ39" s="5">
        <v>1.204</v>
      </c>
      <c r="BA39" s="5">
        <v>1.1720999999999999</v>
      </c>
      <c r="BB39" s="5">
        <v>1.2285999999999999</v>
      </c>
      <c r="BC39" s="5">
        <v>1.1798</v>
      </c>
      <c r="BD39" s="5">
        <v>1.1718999999999999</v>
      </c>
      <c r="BE39" s="5">
        <v>1.1476999999999999</v>
      </c>
      <c r="BF39" s="5">
        <v>1.0828</v>
      </c>
      <c r="BG39" s="5">
        <v>1.1757</v>
      </c>
      <c r="BH39" s="5">
        <v>1.2361</v>
      </c>
      <c r="BI39" s="5">
        <v>1.1855</v>
      </c>
      <c r="BJ39" s="5">
        <v>1.1892</v>
      </c>
      <c r="BK39" s="5">
        <v>1.2148000000000001</v>
      </c>
      <c r="BL39" s="5">
        <v>1.2078</v>
      </c>
      <c r="BM39" s="5">
        <v>1.1765000000000001</v>
      </c>
      <c r="BN39" s="5">
        <v>1.2311000000000001</v>
      </c>
      <c r="BO39" s="5">
        <v>1.1879</v>
      </c>
      <c r="BP39" s="5">
        <v>1.1792</v>
      </c>
      <c r="BQ39" s="5">
        <v>1.1584000000000001</v>
      </c>
      <c r="BR39" s="5">
        <v>1.0871999999999999</v>
      </c>
      <c r="BS39" s="5">
        <v>1.1812</v>
      </c>
      <c r="BT39" s="5">
        <v>1.2423999999999999</v>
      </c>
      <c r="BU39" s="5">
        <v>1.1895</v>
      </c>
      <c r="BV39" s="5">
        <v>1.1928000000000001</v>
      </c>
      <c r="BW39" s="5">
        <v>1.2191000000000001</v>
      </c>
      <c r="BX39" s="5">
        <v>1.2115</v>
      </c>
      <c r="BY39" s="5">
        <v>1.1793</v>
      </c>
      <c r="BZ39" s="5">
        <v>1.2327999999999999</v>
      </c>
      <c r="CA39" s="5">
        <v>1.1916</v>
      </c>
      <c r="CB39" s="5">
        <v>1.1831</v>
      </c>
      <c r="CC39" s="5">
        <v>1.1625000000000001</v>
      </c>
      <c r="CD39" s="5">
        <v>1.0905</v>
      </c>
      <c r="CE39" s="5">
        <v>1.1838</v>
      </c>
      <c r="CF39" s="5">
        <v>1.2448999999999999</v>
      </c>
      <c r="CG39" s="5">
        <v>1.1918</v>
      </c>
      <c r="CH39" s="5">
        <v>1.196</v>
      </c>
      <c r="CI39" s="5">
        <v>1.2222999999999999</v>
      </c>
      <c r="CJ39" s="5">
        <v>1.2141999999999999</v>
      </c>
      <c r="CK39" s="5">
        <v>1.1817</v>
      </c>
      <c r="CL39" s="5">
        <v>1.2329000000000001</v>
      </c>
      <c r="CM39" s="5">
        <v>1.1940999999999999</v>
      </c>
      <c r="CN39" s="5">
        <v>1.1854</v>
      </c>
      <c r="CO39" s="5">
        <v>1.1653</v>
      </c>
      <c r="CP39" s="5">
        <v>1.0925</v>
      </c>
      <c r="CQ39" s="5">
        <v>1.1847000000000001</v>
      </c>
      <c r="CR39" s="5">
        <v>1.2478</v>
      </c>
      <c r="CS39" s="5">
        <v>1.1920999999999999</v>
      </c>
      <c r="CT39" s="5">
        <v>1.1991000000000001</v>
      </c>
      <c r="CU39" s="5">
        <v>1.2249000000000001</v>
      </c>
      <c r="CV39" s="5">
        <v>1.2165999999999999</v>
      </c>
      <c r="CW39" s="5">
        <v>1.1830000000000001</v>
      </c>
      <c r="CX39" s="5">
        <v>1.2321</v>
      </c>
      <c r="CY39" s="5">
        <v>1.1951000000000001</v>
      </c>
      <c r="CZ39" s="5">
        <v>1.1856</v>
      </c>
      <c r="DA39" s="5">
        <v>1.1657999999999999</v>
      </c>
      <c r="DB39" s="5">
        <v>1.0931999999999999</v>
      </c>
      <c r="DC39" s="5">
        <v>1.1833</v>
      </c>
      <c r="DD39" s="5">
        <v>1.2446999999999999</v>
      </c>
      <c r="DE39" s="5">
        <v>1.1916</v>
      </c>
      <c r="DF39" s="5">
        <v>1.1969000000000001</v>
      </c>
      <c r="DG39" s="5">
        <v>1.2237</v>
      </c>
      <c r="DH39" s="5">
        <v>1.2149000000000001</v>
      </c>
      <c r="DI39" s="5">
        <v>1.1817</v>
      </c>
      <c r="DJ39" s="5">
        <v>1.2296</v>
      </c>
      <c r="DK39" s="5">
        <v>1.1958</v>
      </c>
      <c r="DL39" s="5">
        <v>1.1870000000000001</v>
      </c>
      <c r="DM39" s="5">
        <v>1.1679999999999999</v>
      </c>
      <c r="DN39" s="5">
        <v>1.0935999999999999</v>
      </c>
      <c r="DO39" s="5">
        <v>1.1839999999999999</v>
      </c>
      <c r="DP39" s="5">
        <v>1.2464999999999999</v>
      </c>
      <c r="DQ39" s="5">
        <v>1.1908000000000001</v>
      </c>
      <c r="DR39" s="5">
        <v>1.1972</v>
      </c>
      <c r="DS39" s="5">
        <v>1.224</v>
      </c>
      <c r="DT39" s="5">
        <v>1.2149000000000001</v>
      </c>
      <c r="DU39" s="5">
        <v>1.1816</v>
      </c>
      <c r="DV39" s="5">
        <v>1.2276</v>
      </c>
      <c r="DW39" s="5">
        <v>1.1960999999999999</v>
      </c>
      <c r="DX39" s="5">
        <v>1.1874</v>
      </c>
      <c r="DY39" s="5">
        <v>1.1689000000000001</v>
      </c>
      <c r="DZ39" s="5">
        <v>1.0942000000000001</v>
      </c>
      <c r="EA39" s="5">
        <v>1.1835</v>
      </c>
      <c r="EB39" s="5">
        <v>1.2458</v>
      </c>
      <c r="EC39" s="5">
        <v>1.19</v>
      </c>
      <c r="ED39" s="5">
        <v>1.1974</v>
      </c>
      <c r="EE39" s="5">
        <v>1.2242</v>
      </c>
      <c r="EF39" s="5">
        <v>1.2148000000000001</v>
      </c>
      <c r="EG39" s="5">
        <v>1.1813</v>
      </c>
      <c r="EH39" s="5">
        <v>1.2256</v>
      </c>
      <c r="EI39" s="5">
        <v>1.1961999999999999</v>
      </c>
      <c r="EJ39" s="5">
        <v>1.1876</v>
      </c>
      <c r="EK39" s="5">
        <v>1.1695</v>
      </c>
      <c r="EL39" s="5">
        <v>1.0946</v>
      </c>
      <c r="EM39" s="5">
        <v>1.1827000000000001</v>
      </c>
      <c r="EN39" s="5">
        <v>1.2448999999999999</v>
      </c>
      <c r="EO39" s="5">
        <v>1.1942999999999999</v>
      </c>
      <c r="EP39" s="5">
        <v>1.1994</v>
      </c>
      <c r="EQ39" s="5">
        <v>1.198</v>
      </c>
      <c r="ER39" s="5">
        <v>1.2161999999999999</v>
      </c>
      <c r="ES39" s="5">
        <v>1.1816</v>
      </c>
      <c r="ET39" s="5">
        <v>1.2235</v>
      </c>
      <c r="EU39" s="5">
        <v>1.1961999999999999</v>
      </c>
      <c r="EV39" s="5">
        <v>1.1871</v>
      </c>
      <c r="EW39" s="5">
        <v>1.1693</v>
      </c>
      <c r="EX39" s="5">
        <v>1.0946</v>
      </c>
      <c r="EY39" s="5">
        <v>1.1805000000000001</v>
      </c>
      <c r="EZ39" s="5">
        <v>1.2408999999999999</v>
      </c>
      <c r="FA39" s="5">
        <v>1.1935</v>
      </c>
      <c r="FB39" s="5">
        <v>1.1972</v>
      </c>
      <c r="FC39" s="5">
        <v>1.2242</v>
      </c>
      <c r="FD39" s="5">
        <v>1.2141999999999999</v>
      </c>
      <c r="FE39" s="5">
        <v>1.1803999999999999</v>
      </c>
      <c r="FF39" s="5">
        <v>1.2210000000000001</v>
      </c>
      <c r="FG39" s="5">
        <v>1.1967000000000001</v>
      </c>
      <c r="FH39" s="5">
        <v>1.1881999999999999</v>
      </c>
      <c r="FI39" s="5">
        <v>1.1714</v>
      </c>
      <c r="FJ39" s="5">
        <v>1.0951</v>
      </c>
      <c r="FK39" s="5">
        <v>1.1811</v>
      </c>
      <c r="FL39" s="5">
        <v>1.2424999999999999</v>
      </c>
      <c r="FM39" s="5">
        <v>1.1932</v>
      </c>
      <c r="FN39" s="5">
        <v>1.2057</v>
      </c>
      <c r="FO39" s="5">
        <v>1.2343</v>
      </c>
      <c r="FP39" s="5">
        <v>1.2202999999999999</v>
      </c>
      <c r="FQ39" s="5">
        <v>1.1778999999999999</v>
      </c>
      <c r="FR39" s="5">
        <v>1.218</v>
      </c>
      <c r="FS39" s="5">
        <v>1.196</v>
      </c>
      <c r="FT39" s="5">
        <v>1.1839</v>
      </c>
      <c r="FU39" s="5">
        <v>1.1714</v>
      </c>
      <c r="FV39" s="5">
        <v>1.0942000000000001</v>
      </c>
      <c r="FW39" s="5">
        <v>1.179</v>
      </c>
      <c r="FX39" s="5">
        <v>1.2402</v>
      </c>
      <c r="FY39" s="5">
        <v>1.1869000000000001</v>
      </c>
    </row>
    <row r="40" spans="1:181" x14ac:dyDescent="0.3">
      <c r="A40" s="2">
        <v>2</v>
      </c>
      <c r="B40" s="5">
        <v>1.0576000000000001</v>
      </c>
      <c r="C40" s="5">
        <v>1.0653999999999999</v>
      </c>
      <c r="D40" s="5">
        <v>1.0682</v>
      </c>
      <c r="E40" s="5">
        <v>1.0835999999999999</v>
      </c>
      <c r="F40" s="5">
        <v>1.0872999999999999</v>
      </c>
      <c r="G40" s="5">
        <v>1.0785</v>
      </c>
      <c r="H40" s="5">
        <v>1.0827</v>
      </c>
      <c r="I40" s="5">
        <v>1.0809</v>
      </c>
      <c r="J40" s="5">
        <v>1.0864</v>
      </c>
      <c r="K40" s="5">
        <v>1.0719000000000001</v>
      </c>
      <c r="L40" s="5">
        <v>1.0891</v>
      </c>
      <c r="M40" s="5">
        <v>1.0840000000000001</v>
      </c>
      <c r="N40" s="5">
        <v>1.0637000000000001</v>
      </c>
      <c r="O40" s="5">
        <v>1.0724</v>
      </c>
      <c r="P40" s="5">
        <v>1.075</v>
      </c>
      <c r="Q40" s="5">
        <v>1.0908</v>
      </c>
      <c r="R40" s="5">
        <v>1.0925</v>
      </c>
      <c r="S40" s="5">
        <v>1.0866</v>
      </c>
      <c r="T40" s="5">
        <v>1.0916999999999999</v>
      </c>
      <c r="U40" s="5">
        <v>1.0901000000000001</v>
      </c>
      <c r="V40" s="5">
        <v>1.0961000000000001</v>
      </c>
      <c r="W40" s="5">
        <v>1.0783</v>
      </c>
      <c r="X40" s="5">
        <v>1.0949</v>
      </c>
      <c r="Y40" s="5">
        <v>1.0906</v>
      </c>
      <c r="Z40" s="5">
        <v>1.0704</v>
      </c>
      <c r="AA40" s="5">
        <v>1.079</v>
      </c>
      <c r="AB40" s="5">
        <v>1.0815999999999999</v>
      </c>
      <c r="AC40" s="5">
        <v>1.0968</v>
      </c>
      <c r="AD40" s="5">
        <v>1.0976999999999999</v>
      </c>
      <c r="AE40" s="5">
        <v>1.0929</v>
      </c>
      <c r="AF40" s="5">
        <v>1.0971</v>
      </c>
      <c r="AG40" s="5">
        <v>1.0966</v>
      </c>
      <c r="AH40" s="5">
        <v>1.103</v>
      </c>
      <c r="AI40" s="5">
        <v>1.0866</v>
      </c>
      <c r="AJ40" s="5">
        <v>1.103</v>
      </c>
      <c r="AK40" s="5">
        <v>1.0992</v>
      </c>
      <c r="AL40" s="5">
        <v>1.0762</v>
      </c>
      <c r="AM40" s="5">
        <v>1.0872999999999999</v>
      </c>
      <c r="AN40" s="5">
        <v>1.0891</v>
      </c>
      <c r="AO40" s="5">
        <v>1.1035999999999999</v>
      </c>
      <c r="AP40" s="5">
        <v>1.1034999999999999</v>
      </c>
      <c r="AQ40" s="5">
        <v>1.1001000000000001</v>
      </c>
      <c r="AR40" s="5">
        <v>1.1028</v>
      </c>
      <c r="AS40" s="5">
        <v>1.1040000000000001</v>
      </c>
      <c r="AT40" s="5">
        <v>1.1105</v>
      </c>
      <c r="AU40" s="5">
        <v>1.0929</v>
      </c>
      <c r="AV40" s="5">
        <v>1.1091</v>
      </c>
      <c r="AW40" s="5">
        <v>1.1055999999999999</v>
      </c>
      <c r="AX40" s="5">
        <v>1.0806</v>
      </c>
      <c r="AY40" s="5">
        <v>1.0941000000000001</v>
      </c>
      <c r="AZ40" s="5">
        <v>1.0960000000000001</v>
      </c>
      <c r="BA40" s="5">
        <v>1.1093</v>
      </c>
      <c r="BB40" s="5">
        <v>1.1076999999999999</v>
      </c>
      <c r="BC40" s="5">
        <v>1.105</v>
      </c>
      <c r="BD40" s="5">
        <v>1.107</v>
      </c>
      <c r="BE40" s="5">
        <v>1.1079000000000001</v>
      </c>
      <c r="BF40" s="5">
        <v>1.1149</v>
      </c>
      <c r="BG40" s="5">
        <v>1.0965</v>
      </c>
      <c r="BH40" s="5">
        <v>1.1122000000000001</v>
      </c>
      <c r="BI40" s="5">
        <v>1.1104000000000001</v>
      </c>
      <c r="BJ40" s="5">
        <v>1.0841000000000001</v>
      </c>
      <c r="BK40" s="5">
        <v>1.0986</v>
      </c>
      <c r="BL40" s="5">
        <v>1.0986</v>
      </c>
      <c r="BM40" s="5">
        <v>1.1116999999999999</v>
      </c>
      <c r="BN40" s="5">
        <v>1.1102000000000001</v>
      </c>
      <c r="BO40" s="5">
        <v>1.1083000000000001</v>
      </c>
      <c r="BP40" s="5">
        <v>1.1109</v>
      </c>
      <c r="BQ40" s="5">
        <v>1.1116999999999999</v>
      </c>
      <c r="BR40" s="5">
        <v>1.1192</v>
      </c>
      <c r="BS40" s="5">
        <v>1.1005</v>
      </c>
      <c r="BT40" s="5">
        <v>1.1161000000000001</v>
      </c>
      <c r="BU40" s="5">
        <v>1.1134999999999999</v>
      </c>
      <c r="BV40" s="5">
        <v>1.0863</v>
      </c>
      <c r="BW40" s="5">
        <v>1.1019000000000001</v>
      </c>
      <c r="BX40" s="5">
        <v>1.1013999999999999</v>
      </c>
      <c r="BY40" s="5">
        <v>1.1143000000000001</v>
      </c>
      <c r="BZ40" s="5">
        <v>1.1121000000000001</v>
      </c>
      <c r="CA40" s="5">
        <v>1.1108</v>
      </c>
      <c r="CB40" s="5">
        <v>1.1135999999999999</v>
      </c>
      <c r="CC40" s="5">
        <v>1.1141000000000001</v>
      </c>
      <c r="CD40" s="5">
        <v>1.1216999999999999</v>
      </c>
      <c r="CE40" s="5">
        <v>1.1027</v>
      </c>
      <c r="CF40" s="5">
        <v>1.1180000000000001</v>
      </c>
      <c r="CG40" s="5">
        <v>1.1155999999999999</v>
      </c>
      <c r="CH40" s="5">
        <v>1.0883</v>
      </c>
      <c r="CI40" s="5">
        <v>1.1045</v>
      </c>
      <c r="CJ40" s="5">
        <v>1.1033999999999999</v>
      </c>
      <c r="CK40" s="5">
        <v>1.1158999999999999</v>
      </c>
      <c r="CL40" s="5">
        <v>1.1135999999999999</v>
      </c>
      <c r="CM40" s="5">
        <v>1.1124000000000001</v>
      </c>
      <c r="CN40" s="5">
        <v>1.1153</v>
      </c>
      <c r="CO40" s="5">
        <v>1.1153999999999999</v>
      </c>
      <c r="CP40" s="5">
        <v>1.1232</v>
      </c>
      <c r="CQ40" s="5">
        <v>1.1040000000000001</v>
      </c>
      <c r="CR40" s="5">
        <v>1.1189</v>
      </c>
      <c r="CS40" s="5">
        <v>1.1164000000000001</v>
      </c>
      <c r="CT40" s="5">
        <v>1.0899000000000001</v>
      </c>
      <c r="CU40" s="5">
        <v>1.1041000000000001</v>
      </c>
      <c r="CV40" s="5">
        <v>1.1054999999999999</v>
      </c>
      <c r="CW40" s="5">
        <v>1.1171</v>
      </c>
      <c r="CX40" s="5">
        <v>1.1144000000000001</v>
      </c>
      <c r="CY40" s="5">
        <v>1.113</v>
      </c>
      <c r="CZ40" s="5">
        <v>1.1155999999999999</v>
      </c>
      <c r="DA40" s="5">
        <v>1.1153</v>
      </c>
      <c r="DB40" s="5">
        <v>1.123</v>
      </c>
      <c r="DC40" s="5">
        <v>1.1035999999999999</v>
      </c>
      <c r="DD40" s="5">
        <v>1.1182000000000001</v>
      </c>
      <c r="DE40" s="5">
        <v>1.1167</v>
      </c>
      <c r="DF40" s="5">
        <v>1.0889</v>
      </c>
      <c r="DG40" s="5">
        <v>1.1053999999999999</v>
      </c>
      <c r="DH40" s="5">
        <v>1.1043000000000001</v>
      </c>
      <c r="DI40" s="5">
        <v>1.1166</v>
      </c>
      <c r="DJ40" s="5">
        <v>1.1140000000000001</v>
      </c>
      <c r="DK40" s="5">
        <v>1.1129</v>
      </c>
      <c r="DL40" s="5">
        <v>1.1162000000000001</v>
      </c>
      <c r="DM40" s="5">
        <v>1.1155999999999999</v>
      </c>
      <c r="DN40" s="5">
        <v>1.1234</v>
      </c>
      <c r="DO40" s="5">
        <v>1.1044</v>
      </c>
      <c r="DP40" s="5">
        <v>1.1193</v>
      </c>
      <c r="DQ40" s="5">
        <v>1.1167</v>
      </c>
      <c r="DR40" s="5">
        <v>1.0889</v>
      </c>
      <c r="DS40" s="5">
        <v>1.1056999999999999</v>
      </c>
      <c r="DT40" s="5">
        <v>1.1045</v>
      </c>
      <c r="DU40" s="5">
        <v>1.1169</v>
      </c>
      <c r="DV40" s="5">
        <v>1.1142000000000001</v>
      </c>
      <c r="DW40" s="5">
        <v>1.1131</v>
      </c>
      <c r="DX40" s="5">
        <v>1.1165</v>
      </c>
      <c r="DY40" s="5">
        <v>1.1155999999999999</v>
      </c>
      <c r="DZ40" s="5">
        <v>1.1234999999999999</v>
      </c>
      <c r="EA40" s="5">
        <v>1.1046</v>
      </c>
      <c r="EB40" s="5">
        <v>1.1194</v>
      </c>
      <c r="EC40" s="5">
        <v>1.1168</v>
      </c>
      <c r="ED40" s="5">
        <v>1.0889</v>
      </c>
      <c r="EE40" s="5">
        <v>1.1057999999999999</v>
      </c>
      <c r="EF40" s="5">
        <v>1.1046</v>
      </c>
      <c r="EG40" s="5">
        <v>1.1169</v>
      </c>
      <c r="EH40" s="5">
        <v>1.1145</v>
      </c>
      <c r="EI40" s="5">
        <v>1.1131</v>
      </c>
      <c r="EJ40" s="5">
        <v>1.1167</v>
      </c>
      <c r="EK40" s="5">
        <v>1.1154999999999999</v>
      </c>
      <c r="EL40" s="5">
        <v>1.1234999999999999</v>
      </c>
      <c r="EM40" s="5">
        <v>1.1051</v>
      </c>
      <c r="EN40" s="5">
        <v>1.1194999999999999</v>
      </c>
      <c r="EO40" s="5">
        <v>1.1167</v>
      </c>
      <c r="EP40" s="5">
        <v>1.0898000000000001</v>
      </c>
      <c r="EQ40" s="5">
        <v>1.1054999999999999</v>
      </c>
      <c r="ER40" s="5">
        <v>1.1063000000000001</v>
      </c>
      <c r="ES40" s="5">
        <v>1.1173999999999999</v>
      </c>
      <c r="ET40" s="5">
        <v>1.1147</v>
      </c>
      <c r="EU40" s="5">
        <v>1.1218999999999999</v>
      </c>
      <c r="EV40" s="5">
        <v>1.1164000000000001</v>
      </c>
      <c r="EW40" s="5">
        <v>1.1147</v>
      </c>
      <c r="EX40" s="5">
        <v>1.1226</v>
      </c>
      <c r="EY40" s="5">
        <v>1.1040000000000001</v>
      </c>
      <c r="EZ40" s="5">
        <v>1.1182000000000001</v>
      </c>
      <c r="FA40" s="5">
        <v>1.1164000000000001</v>
      </c>
      <c r="FB40" s="5">
        <v>1.0885</v>
      </c>
      <c r="FC40" s="5">
        <v>1.1057999999999999</v>
      </c>
      <c r="FD40" s="5">
        <v>1.1046</v>
      </c>
      <c r="FE40" s="5">
        <v>1.1168</v>
      </c>
      <c r="FF40" s="5">
        <v>1.1146</v>
      </c>
      <c r="FG40" s="5">
        <v>1.1129</v>
      </c>
      <c r="FH40" s="5">
        <v>1.117</v>
      </c>
      <c r="FI40" s="5">
        <v>1.1147</v>
      </c>
      <c r="FJ40" s="5">
        <v>1.123</v>
      </c>
      <c r="FK40" s="5">
        <v>1.1049</v>
      </c>
      <c r="FL40" s="5">
        <v>1.1194</v>
      </c>
      <c r="FM40" s="5">
        <v>1.1164000000000001</v>
      </c>
      <c r="FN40" s="5">
        <v>1.0920000000000001</v>
      </c>
      <c r="FO40" s="5">
        <v>1.1122000000000001</v>
      </c>
      <c r="FP40" s="5">
        <v>1.1084000000000001</v>
      </c>
      <c r="FQ40" s="5">
        <v>1.1155999999999999</v>
      </c>
      <c r="FR40" s="5">
        <v>1.1141000000000001</v>
      </c>
      <c r="FS40" s="5">
        <v>1.1122000000000001</v>
      </c>
      <c r="FT40" s="5">
        <v>1.1142000000000001</v>
      </c>
      <c r="FU40" s="5">
        <v>1.1136999999999999</v>
      </c>
      <c r="FV40" s="5">
        <v>1.1220000000000001</v>
      </c>
      <c r="FW40" s="5">
        <v>1.1042000000000001</v>
      </c>
      <c r="FX40" s="5">
        <v>1.1186</v>
      </c>
      <c r="FY40" s="5">
        <v>1.1125</v>
      </c>
    </row>
    <row r="41" spans="1:181" x14ac:dyDescent="0.3">
      <c r="A41" s="2">
        <v>3</v>
      </c>
      <c r="B41" s="5">
        <v>0.99009999999999998</v>
      </c>
      <c r="C41" s="5">
        <v>0.98209999999999997</v>
      </c>
      <c r="D41" s="5">
        <v>0.9919</v>
      </c>
      <c r="E41" s="5">
        <v>0.98509999999999998</v>
      </c>
      <c r="F41" s="5">
        <v>0.99360000000000004</v>
      </c>
      <c r="G41" s="5">
        <v>0.98870000000000002</v>
      </c>
      <c r="H41" s="5">
        <v>0.99029999999999996</v>
      </c>
      <c r="I41" s="5">
        <v>0.98929999999999996</v>
      </c>
      <c r="J41" s="5">
        <v>0.99150000000000005</v>
      </c>
      <c r="K41" s="5">
        <v>0.9909</v>
      </c>
      <c r="L41" s="5">
        <v>0.98670000000000002</v>
      </c>
      <c r="M41" s="5">
        <v>0.99550000000000005</v>
      </c>
      <c r="N41" s="5">
        <v>0.98760000000000003</v>
      </c>
      <c r="O41" s="5">
        <v>0.98719999999999997</v>
      </c>
      <c r="P41" s="5">
        <v>0.99029999999999996</v>
      </c>
      <c r="Q41" s="5">
        <v>0.98150000000000004</v>
      </c>
      <c r="R41" s="5">
        <v>0.98309999999999997</v>
      </c>
      <c r="S41" s="5">
        <v>0.98880000000000001</v>
      </c>
      <c r="T41" s="5">
        <v>0.99280000000000002</v>
      </c>
      <c r="U41" s="5">
        <v>0.99070000000000003</v>
      </c>
      <c r="V41" s="5">
        <v>0.9929</v>
      </c>
      <c r="W41" s="5">
        <v>0.99009999999999998</v>
      </c>
      <c r="X41" s="5">
        <v>0.98570000000000002</v>
      </c>
      <c r="Y41" s="5">
        <v>0.99519999999999997</v>
      </c>
      <c r="Z41" s="5">
        <v>0.98440000000000005</v>
      </c>
      <c r="AA41" s="5">
        <v>0.98909999999999998</v>
      </c>
      <c r="AB41" s="5">
        <v>0.98970000000000002</v>
      </c>
      <c r="AC41" s="5">
        <v>0.98029999999999995</v>
      </c>
      <c r="AD41" s="5">
        <v>0.98060000000000003</v>
      </c>
      <c r="AE41" s="5">
        <v>0.98960000000000004</v>
      </c>
      <c r="AF41" s="5">
        <v>0.996</v>
      </c>
      <c r="AG41" s="5">
        <v>0.99209999999999998</v>
      </c>
      <c r="AH41" s="5">
        <v>0.99490000000000001</v>
      </c>
      <c r="AI41" s="5">
        <v>0.98909999999999998</v>
      </c>
      <c r="AJ41" s="5">
        <v>0.98399999999999999</v>
      </c>
      <c r="AK41" s="5">
        <v>0.99470000000000003</v>
      </c>
      <c r="AL41" s="5">
        <v>0.98270000000000002</v>
      </c>
      <c r="AM41" s="5">
        <v>0.98909999999999998</v>
      </c>
      <c r="AN41" s="5">
        <v>0.98870000000000002</v>
      </c>
      <c r="AO41" s="5">
        <v>0.97809999999999997</v>
      </c>
      <c r="AP41" s="5">
        <v>0.97819999999999996</v>
      </c>
      <c r="AQ41" s="5">
        <v>0.98909999999999998</v>
      </c>
      <c r="AR41" s="5">
        <v>0.99609999999999999</v>
      </c>
      <c r="AS41" s="5">
        <v>0.99139999999999995</v>
      </c>
      <c r="AT41" s="5">
        <v>0.99539999999999995</v>
      </c>
      <c r="AU41" s="5">
        <v>0.98799999999999999</v>
      </c>
      <c r="AV41" s="5">
        <v>0.98209999999999997</v>
      </c>
      <c r="AW41" s="5">
        <v>0.99380000000000002</v>
      </c>
      <c r="AX41" s="5">
        <v>0.98080000000000001</v>
      </c>
      <c r="AY41" s="5">
        <v>0.98429999999999995</v>
      </c>
      <c r="AZ41" s="5">
        <v>0.9879</v>
      </c>
      <c r="BA41" s="5">
        <v>0.97570000000000001</v>
      </c>
      <c r="BB41" s="5">
        <v>0.97619999999999996</v>
      </c>
      <c r="BC41" s="5">
        <v>0.98839999999999995</v>
      </c>
      <c r="BD41" s="5">
        <v>0.99590000000000001</v>
      </c>
      <c r="BE41" s="5">
        <v>0.99050000000000005</v>
      </c>
      <c r="BF41" s="5">
        <v>0.99550000000000005</v>
      </c>
      <c r="BG41" s="5">
        <v>0.98719999999999997</v>
      </c>
      <c r="BH41" s="5">
        <v>0.98080000000000001</v>
      </c>
      <c r="BI41" s="5">
        <v>0.9929</v>
      </c>
      <c r="BJ41" s="5">
        <v>0.97950000000000004</v>
      </c>
      <c r="BK41" s="5">
        <v>0.98829999999999996</v>
      </c>
      <c r="BL41" s="5">
        <v>0.9869</v>
      </c>
      <c r="BM41" s="5">
        <v>0.97430000000000005</v>
      </c>
      <c r="BN41" s="5">
        <v>0.97499999999999998</v>
      </c>
      <c r="BO41" s="5">
        <v>0.98760000000000003</v>
      </c>
      <c r="BP41" s="5">
        <v>0.99560000000000004</v>
      </c>
      <c r="BQ41" s="5">
        <v>0.98950000000000005</v>
      </c>
      <c r="BR41" s="5">
        <v>0.99529999999999996</v>
      </c>
      <c r="BS41" s="5">
        <v>0.98640000000000005</v>
      </c>
      <c r="BT41" s="5">
        <v>0.97909999999999997</v>
      </c>
      <c r="BU41" s="5">
        <v>0.99219999999999997</v>
      </c>
      <c r="BV41" s="5">
        <v>0.9788</v>
      </c>
      <c r="BW41" s="5">
        <v>0.98850000000000005</v>
      </c>
      <c r="BX41" s="5">
        <v>0.98640000000000005</v>
      </c>
      <c r="BY41" s="5">
        <v>0.97299999999999998</v>
      </c>
      <c r="BZ41" s="5">
        <v>0.97389999999999999</v>
      </c>
      <c r="CA41" s="5">
        <v>0.98670000000000002</v>
      </c>
      <c r="CB41" s="5">
        <v>0.99519999999999997</v>
      </c>
      <c r="CC41" s="5">
        <v>0.98880000000000001</v>
      </c>
      <c r="CD41" s="5">
        <v>0.99570000000000003</v>
      </c>
      <c r="CE41" s="5">
        <v>0.98599999999999999</v>
      </c>
      <c r="CF41" s="5">
        <v>0.97789999999999999</v>
      </c>
      <c r="CG41" s="5">
        <v>0.99170000000000003</v>
      </c>
      <c r="CH41" s="5">
        <v>0.97789999999999999</v>
      </c>
      <c r="CI41" s="5">
        <v>0.98839999999999995</v>
      </c>
      <c r="CJ41" s="5">
        <v>0.98570000000000002</v>
      </c>
      <c r="CK41" s="5">
        <v>0.97170000000000001</v>
      </c>
      <c r="CL41" s="5">
        <v>0.9728</v>
      </c>
      <c r="CM41" s="5">
        <v>0.98560000000000003</v>
      </c>
      <c r="CN41" s="5">
        <v>0.99370000000000003</v>
      </c>
      <c r="CO41" s="5">
        <v>0.98740000000000006</v>
      </c>
      <c r="CP41" s="5">
        <v>0.99519999999999997</v>
      </c>
      <c r="CQ41" s="5">
        <v>0.98570000000000002</v>
      </c>
      <c r="CR41" s="5">
        <v>0.97699999999999998</v>
      </c>
      <c r="CS41" s="5">
        <v>0.99099999999999999</v>
      </c>
      <c r="CT41" s="5">
        <v>0.97719999999999996</v>
      </c>
      <c r="CU41" s="5">
        <v>0.98070000000000002</v>
      </c>
      <c r="CV41" s="5">
        <v>0.98540000000000005</v>
      </c>
      <c r="CW41" s="5">
        <v>0.97060000000000002</v>
      </c>
      <c r="CX41" s="5">
        <v>0.97209999999999996</v>
      </c>
      <c r="CY41" s="5">
        <v>0.98419999999999996</v>
      </c>
      <c r="CZ41" s="5">
        <v>0.99160000000000004</v>
      </c>
      <c r="DA41" s="5">
        <v>0.98540000000000005</v>
      </c>
      <c r="DB41" s="5">
        <v>0.99429999999999996</v>
      </c>
      <c r="DC41" s="5">
        <v>0.98519999999999996</v>
      </c>
      <c r="DD41" s="5">
        <v>0.97660000000000002</v>
      </c>
      <c r="DE41" s="5">
        <v>0.99060000000000004</v>
      </c>
      <c r="DF41" s="5">
        <v>0.97750000000000004</v>
      </c>
      <c r="DG41" s="5">
        <v>0.98619999999999997</v>
      </c>
      <c r="DH41" s="5">
        <v>0.98499999999999999</v>
      </c>
      <c r="DI41" s="5">
        <v>0.97030000000000005</v>
      </c>
      <c r="DJ41" s="5">
        <v>0.97170000000000001</v>
      </c>
      <c r="DK41" s="5">
        <v>0.98299999999999998</v>
      </c>
      <c r="DL41" s="5">
        <v>0.98909999999999998</v>
      </c>
      <c r="DM41" s="5">
        <v>0.98360000000000003</v>
      </c>
      <c r="DN41" s="5">
        <v>0.99309999999999998</v>
      </c>
      <c r="DO41" s="5">
        <v>0.98460000000000003</v>
      </c>
      <c r="DP41" s="5">
        <v>0.97570000000000001</v>
      </c>
      <c r="DQ41" s="5">
        <v>0.99019999999999997</v>
      </c>
      <c r="DR41" s="5">
        <v>0.97750000000000004</v>
      </c>
      <c r="DS41" s="5">
        <v>0.98519999999999996</v>
      </c>
      <c r="DT41" s="5">
        <v>0.98470000000000002</v>
      </c>
      <c r="DU41" s="5">
        <v>0.96960000000000002</v>
      </c>
      <c r="DV41" s="5">
        <v>0.97119999999999995</v>
      </c>
      <c r="DW41" s="5">
        <v>0.9819</v>
      </c>
      <c r="DX41" s="5">
        <v>0.98619999999999997</v>
      </c>
      <c r="DY41" s="5">
        <v>0.98180000000000001</v>
      </c>
      <c r="DZ41" s="5">
        <v>0.9919</v>
      </c>
      <c r="EA41" s="5">
        <v>0.9839</v>
      </c>
      <c r="EB41" s="5">
        <v>0.97509999999999997</v>
      </c>
      <c r="EC41" s="5">
        <v>0.98960000000000004</v>
      </c>
      <c r="ED41" s="5">
        <v>0.97750000000000004</v>
      </c>
      <c r="EE41" s="5">
        <v>0.98409999999999997</v>
      </c>
      <c r="EF41" s="5">
        <v>0.98429999999999995</v>
      </c>
      <c r="EG41" s="5">
        <v>0.96899999999999997</v>
      </c>
      <c r="EH41" s="5">
        <v>0.97070000000000001</v>
      </c>
      <c r="EI41" s="5">
        <v>0.98099999999999998</v>
      </c>
      <c r="EJ41" s="5">
        <v>0.98370000000000002</v>
      </c>
      <c r="EK41" s="5">
        <v>0.98019999999999996</v>
      </c>
      <c r="EL41" s="5">
        <v>0.99070000000000003</v>
      </c>
      <c r="EM41" s="5">
        <v>0.98340000000000005</v>
      </c>
      <c r="EN41" s="5">
        <v>0.97460000000000002</v>
      </c>
      <c r="EO41" s="5">
        <v>0.98919999999999997</v>
      </c>
      <c r="EP41" s="5">
        <v>0.97719999999999996</v>
      </c>
      <c r="EQ41" s="5">
        <v>0.97540000000000004</v>
      </c>
      <c r="ER41" s="5">
        <v>0.98399999999999999</v>
      </c>
      <c r="ES41" s="5">
        <v>0.96819999999999995</v>
      </c>
      <c r="ET41" s="5">
        <v>0.97030000000000005</v>
      </c>
      <c r="EU41" s="5">
        <v>1.0388999999999999</v>
      </c>
      <c r="EV41" s="5">
        <v>0.98129999999999995</v>
      </c>
      <c r="EW41" s="5">
        <v>0.97909999999999997</v>
      </c>
      <c r="EX41" s="5">
        <v>0.98980000000000001</v>
      </c>
      <c r="EY41" s="5">
        <v>0.9829</v>
      </c>
      <c r="EZ41" s="5">
        <v>0.97460000000000002</v>
      </c>
      <c r="FA41" s="5">
        <v>0.9889</v>
      </c>
      <c r="FB41" s="5">
        <v>0.97760000000000002</v>
      </c>
      <c r="FC41" s="5">
        <v>0.98170000000000002</v>
      </c>
      <c r="FD41" s="5">
        <v>0.98360000000000003</v>
      </c>
      <c r="FE41" s="5">
        <v>0.96799999999999997</v>
      </c>
      <c r="FF41" s="5">
        <v>0.97</v>
      </c>
      <c r="FG41" s="5">
        <v>0.97929999999999995</v>
      </c>
      <c r="FH41" s="5">
        <v>0.97919999999999996</v>
      </c>
      <c r="FI41" s="5">
        <v>0.97750000000000004</v>
      </c>
      <c r="FJ41" s="5">
        <v>0.98809999999999998</v>
      </c>
      <c r="FK41" s="5">
        <v>0.98209999999999997</v>
      </c>
      <c r="FL41" s="5">
        <v>0.9738</v>
      </c>
      <c r="FM41" s="5">
        <v>0.98850000000000005</v>
      </c>
      <c r="FN41" s="5">
        <v>0.97699999999999998</v>
      </c>
      <c r="FO41" s="5">
        <v>0.98</v>
      </c>
      <c r="FP41" s="5">
        <v>0.9829</v>
      </c>
      <c r="FQ41" s="5">
        <v>0.96789999999999998</v>
      </c>
      <c r="FR41" s="5">
        <v>0.9698</v>
      </c>
      <c r="FS41" s="5">
        <v>0.97889999999999999</v>
      </c>
      <c r="FT41" s="5">
        <v>0.97799999999999998</v>
      </c>
      <c r="FU41" s="5">
        <v>0.97689999999999999</v>
      </c>
      <c r="FV41" s="5">
        <v>0.98680000000000001</v>
      </c>
      <c r="FW41" s="5">
        <v>0.98170000000000002</v>
      </c>
      <c r="FX41" s="5">
        <v>0.97350000000000003</v>
      </c>
      <c r="FY41" s="5">
        <v>0.98850000000000005</v>
      </c>
    </row>
    <row r="42" spans="1:181" x14ac:dyDescent="0.3">
      <c r="A42" s="2">
        <v>4</v>
      </c>
      <c r="B42" s="5">
        <v>0.88339999999999996</v>
      </c>
      <c r="C42" s="5">
        <v>0.85940000000000005</v>
      </c>
      <c r="D42" s="5">
        <v>0.88009999999999999</v>
      </c>
      <c r="E42" s="5">
        <v>0.85640000000000005</v>
      </c>
      <c r="F42" s="5">
        <v>0.88929999999999998</v>
      </c>
      <c r="G42" s="5">
        <v>0.87990000000000002</v>
      </c>
      <c r="H42" s="5">
        <v>0.86880000000000002</v>
      </c>
      <c r="I42" s="5">
        <v>0.86519999999999997</v>
      </c>
      <c r="J42" s="5">
        <v>0.85719999999999996</v>
      </c>
      <c r="K42" s="5">
        <v>0.88500000000000001</v>
      </c>
      <c r="L42" s="5">
        <v>0.84740000000000004</v>
      </c>
      <c r="M42" s="5">
        <v>0.87070000000000003</v>
      </c>
      <c r="N42" s="5">
        <v>0.86719999999999997</v>
      </c>
      <c r="O42" s="5">
        <v>0.86909999999999998</v>
      </c>
      <c r="P42" s="5">
        <v>0.86360000000000003</v>
      </c>
      <c r="Q42" s="5">
        <v>0.83399999999999996</v>
      </c>
      <c r="R42" s="5">
        <v>0.86099999999999999</v>
      </c>
      <c r="S42" s="5">
        <v>0.86519999999999997</v>
      </c>
      <c r="T42" s="5">
        <v>0.85740000000000005</v>
      </c>
      <c r="U42" s="5">
        <v>0.85089999999999999</v>
      </c>
      <c r="V42" s="5">
        <v>0.84840000000000004</v>
      </c>
      <c r="W42" s="5">
        <v>0.875</v>
      </c>
      <c r="X42" s="5">
        <v>0.8387</v>
      </c>
      <c r="Y42" s="5">
        <v>0.85970000000000002</v>
      </c>
      <c r="Z42" s="5">
        <v>0.85170000000000001</v>
      </c>
      <c r="AA42" s="5">
        <v>0.86550000000000005</v>
      </c>
      <c r="AB42" s="5">
        <v>0.85219999999999996</v>
      </c>
      <c r="AC42" s="5">
        <v>0.82410000000000005</v>
      </c>
      <c r="AD42" s="5">
        <v>0.84730000000000005</v>
      </c>
      <c r="AE42" s="5">
        <v>0.85609999999999997</v>
      </c>
      <c r="AF42" s="5">
        <v>0.85189999999999999</v>
      </c>
      <c r="AG42" s="5">
        <v>0.84209999999999996</v>
      </c>
      <c r="AH42" s="5">
        <v>0.84289999999999998</v>
      </c>
      <c r="AI42" s="5">
        <v>0.86380000000000001</v>
      </c>
      <c r="AJ42" s="5">
        <v>0.8266</v>
      </c>
      <c r="AK42" s="5">
        <v>0.84619999999999995</v>
      </c>
      <c r="AL42" s="5">
        <v>0.83860000000000001</v>
      </c>
      <c r="AM42" s="5">
        <v>0.85270000000000001</v>
      </c>
      <c r="AN42" s="5">
        <v>0.83819999999999995</v>
      </c>
      <c r="AO42" s="5">
        <v>0.81059999999999999</v>
      </c>
      <c r="AP42" s="5">
        <v>0.83540000000000003</v>
      </c>
      <c r="AQ42" s="5">
        <v>0.84299999999999997</v>
      </c>
      <c r="AR42" s="5">
        <v>0.84140000000000004</v>
      </c>
      <c r="AS42" s="5">
        <v>0.82969999999999999</v>
      </c>
      <c r="AT42" s="5">
        <v>0.83309999999999995</v>
      </c>
      <c r="AU42" s="5">
        <v>0.85489999999999999</v>
      </c>
      <c r="AV42" s="5">
        <v>0.81720000000000004</v>
      </c>
      <c r="AW42" s="5">
        <v>0.83589999999999998</v>
      </c>
      <c r="AX42" s="5">
        <v>0.82599999999999996</v>
      </c>
      <c r="AY42" s="5">
        <v>0.83420000000000005</v>
      </c>
      <c r="AZ42" s="5">
        <v>0.82669999999999999</v>
      </c>
      <c r="BA42" s="5">
        <v>0.79790000000000005</v>
      </c>
      <c r="BB42" s="5">
        <v>0.82650000000000001</v>
      </c>
      <c r="BC42" s="5">
        <v>0.83409999999999995</v>
      </c>
      <c r="BD42" s="5">
        <v>0.83379999999999999</v>
      </c>
      <c r="BE42" s="5">
        <v>0.82220000000000004</v>
      </c>
      <c r="BF42" s="5">
        <v>0.82679999999999998</v>
      </c>
      <c r="BG42" s="5">
        <v>0.84970000000000001</v>
      </c>
      <c r="BH42" s="5">
        <v>0.81220000000000003</v>
      </c>
      <c r="BI42" s="5">
        <v>0.82830000000000004</v>
      </c>
      <c r="BJ42" s="5">
        <v>0.81740000000000002</v>
      </c>
      <c r="BK42" s="5">
        <v>0.83389999999999997</v>
      </c>
      <c r="BL42" s="5">
        <v>0.81920000000000004</v>
      </c>
      <c r="BM42" s="5">
        <v>0.79120000000000001</v>
      </c>
      <c r="BN42" s="5">
        <v>0.82020000000000004</v>
      </c>
      <c r="BO42" s="5">
        <v>0.82640000000000002</v>
      </c>
      <c r="BP42" s="5">
        <v>0.82650000000000001</v>
      </c>
      <c r="BQ42" s="5">
        <v>0.81420000000000003</v>
      </c>
      <c r="BR42" s="5">
        <v>0.8206</v>
      </c>
      <c r="BS42" s="5">
        <v>0.84350000000000003</v>
      </c>
      <c r="BT42" s="5">
        <v>0.80530000000000002</v>
      </c>
      <c r="BU42" s="5">
        <v>0.82279999999999998</v>
      </c>
      <c r="BV42" s="5">
        <v>0.81220000000000003</v>
      </c>
      <c r="BW42" s="5">
        <v>0.82899999999999996</v>
      </c>
      <c r="BX42" s="5">
        <v>0.8135</v>
      </c>
      <c r="BY42" s="5">
        <v>0.7833</v>
      </c>
      <c r="BZ42" s="5">
        <v>0.81430000000000002</v>
      </c>
      <c r="CA42" s="5">
        <v>0.82040000000000002</v>
      </c>
      <c r="CB42" s="5">
        <v>0.82099999999999995</v>
      </c>
      <c r="CC42" s="5">
        <v>0.8085</v>
      </c>
      <c r="CD42" s="5">
        <v>0.81710000000000005</v>
      </c>
      <c r="CE42" s="5">
        <v>0.83989999999999998</v>
      </c>
      <c r="CF42" s="5">
        <v>0.8014</v>
      </c>
      <c r="CG42" s="5">
        <v>0.81889999999999996</v>
      </c>
      <c r="CH42" s="5">
        <v>0.80769999999999997</v>
      </c>
      <c r="CI42" s="5">
        <v>0.82499999999999996</v>
      </c>
      <c r="CJ42" s="5">
        <v>0.80900000000000005</v>
      </c>
      <c r="CK42" s="5">
        <v>0.77859999999999996</v>
      </c>
      <c r="CL42" s="5">
        <v>0.80969999999999998</v>
      </c>
      <c r="CM42" s="5">
        <v>0.81599999999999995</v>
      </c>
      <c r="CN42" s="5">
        <v>0.81630000000000003</v>
      </c>
      <c r="CO42" s="5">
        <v>0.80410000000000004</v>
      </c>
      <c r="CP42" s="5">
        <v>0.81469999999999998</v>
      </c>
      <c r="CQ42" s="5">
        <v>0.83799999999999997</v>
      </c>
      <c r="CR42" s="5">
        <v>0.7994</v>
      </c>
      <c r="CS42" s="5">
        <v>0.81699999999999995</v>
      </c>
      <c r="CT42" s="5">
        <v>0.80410000000000004</v>
      </c>
      <c r="CU42" s="5">
        <v>0.81379999999999997</v>
      </c>
      <c r="CV42" s="5">
        <v>0.80669999999999997</v>
      </c>
      <c r="CW42" s="5">
        <v>0.7742</v>
      </c>
      <c r="CX42" s="5">
        <v>0.80759999999999998</v>
      </c>
      <c r="CY42" s="5">
        <v>0.81240000000000001</v>
      </c>
      <c r="CZ42" s="5">
        <v>0.81289999999999996</v>
      </c>
      <c r="DA42" s="5">
        <v>0.80049999999999999</v>
      </c>
      <c r="DB42" s="5">
        <v>0.81389999999999996</v>
      </c>
      <c r="DC42" s="5">
        <v>0.83799999999999997</v>
      </c>
      <c r="DD42" s="5">
        <v>0.79979999999999996</v>
      </c>
      <c r="DE42" s="5">
        <v>0.81620000000000004</v>
      </c>
      <c r="DF42" s="5">
        <v>0.80489999999999995</v>
      </c>
      <c r="DG42" s="5">
        <v>0.82099999999999995</v>
      </c>
      <c r="DH42" s="5">
        <v>0.80610000000000004</v>
      </c>
      <c r="DI42" s="5">
        <v>0.77300000000000002</v>
      </c>
      <c r="DJ42" s="5">
        <v>0.80669999999999997</v>
      </c>
      <c r="DK42" s="5">
        <v>0.80979999999999996</v>
      </c>
      <c r="DL42" s="5">
        <v>0.80859999999999999</v>
      </c>
      <c r="DM42" s="5">
        <v>0.79649999999999999</v>
      </c>
      <c r="DN42" s="5">
        <v>0.81200000000000006</v>
      </c>
      <c r="DO42" s="5">
        <v>0.83599999999999997</v>
      </c>
      <c r="DP42" s="5">
        <v>0.79710000000000003</v>
      </c>
      <c r="DQ42" s="5">
        <v>0.81559999999999999</v>
      </c>
      <c r="DR42" s="5">
        <v>0.80420000000000003</v>
      </c>
      <c r="DS42" s="5">
        <v>0.8196</v>
      </c>
      <c r="DT42" s="5">
        <v>0.80500000000000005</v>
      </c>
      <c r="DU42" s="5">
        <v>0.77039999999999997</v>
      </c>
      <c r="DV42" s="5">
        <v>0.80569999999999997</v>
      </c>
      <c r="DW42" s="5">
        <v>0.80730000000000002</v>
      </c>
      <c r="DX42" s="5">
        <v>0.80349999999999999</v>
      </c>
      <c r="DY42" s="5">
        <v>0.79269999999999996</v>
      </c>
      <c r="DZ42" s="5">
        <v>0.81079999999999997</v>
      </c>
      <c r="EA42" s="5">
        <v>0.83509999999999995</v>
      </c>
      <c r="EB42" s="5">
        <v>0.79600000000000004</v>
      </c>
      <c r="EC42" s="5">
        <v>0.81479999999999997</v>
      </c>
      <c r="ED42" s="5">
        <v>0.80369999999999997</v>
      </c>
      <c r="EE42" s="5">
        <v>0.81810000000000005</v>
      </c>
      <c r="EF42" s="5">
        <v>0.80410000000000004</v>
      </c>
      <c r="EG42" s="5">
        <v>0.76839999999999997</v>
      </c>
      <c r="EH42" s="5">
        <v>0.80449999999999999</v>
      </c>
      <c r="EI42" s="5">
        <v>0.80530000000000002</v>
      </c>
      <c r="EJ42" s="5">
        <v>0.79920000000000002</v>
      </c>
      <c r="EK42" s="5">
        <v>0.78969999999999996</v>
      </c>
      <c r="EL42" s="5">
        <v>0.80959999999999999</v>
      </c>
      <c r="EM42" s="5">
        <v>0.8337</v>
      </c>
      <c r="EN42" s="5">
        <v>0.79530000000000001</v>
      </c>
      <c r="EO42" s="5">
        <v>0.8145</v>
      </c>
      <c r="EP42" s="5">
        <v>0.80169999999999997</v>
      </c>
      <c r="EQ42" s="5">
        <v>0.80320000000000003</v>
      </c>
      <c r="ER42" s="5">
        <v>0.80300000000000005</v>
      </c>
      <c r="ES42" s="5">
        <v>0.76570000000000005</v>
      </c>
      <c r="ET42" s="5">
        <v>0.8034</v>
      </c>
      <c r="EU42" s="5">
        <v>0.87180000000000002</v>
      </c>
      <c r="EV42" s="5">
        <v>0.79459999999999997</v>
      </c>
      <c r="EW42" s="5">
        <v>0.78779999999999994</v>
      </c>
      <c r="EX42" s="5">
        <v>0.80920000000000003</v>
      </c>
      <c r="EY42" s="5">
        <v>0.83440000000000003</v>
      </c>
      <c r="EZ42" s="5">
        <v>0.79669999999999996</v>
      </c>
      <c r="FA42" s="5">
        <v>0.81440000000000001</v>
      </c>
      <c r="FB42" s="5">
        <v>0.80300000000000005</v>
      </c>
      <c r="FC42" s="5">
        <v>0.81469999999999998</v>
      </c>
      <c r="FD42" s="5">
        <v>0.80269999999999997</v>
      </c>
      <c r="FE42" s="5">
        <v>0.7651</v>
      </c>
      <c r="FF42" s="5">
        <v>0.80249999999999999</v>
      </c>
      <c r="FG42" s="5">
        <v>0.80149999999999999</v>
      </c>
      <c r="FH42" s="5">
        <v>0.78920000000000001</v>
      </c>
      <c r="FI42" s="5">
        <v>0.78439999999999999</v>
      </c>
      <c r="FJ42" s="5">
        <v>0.80679999999999996</v>
      </c>
      <c r="FK42" s="5">
        <v>0.83230000000000004</v>
      </c>
      <c r="FL42" s="5">
        <v>0.79430000000000001</v>
      </c>
      <c r="FM42" s="5">
        <v>0.81389999999999996</v>
      </c>
      <c r="FN42" s="5">
        <v>0.79310000000000003</v>
      </c>
      <c r="FO42" s="5">
        <v>0.80089999999999995</v>
      </c>
      <c r="FP42" s="5">
        <v>0.79420000000000002</v>
      </c>
      <c r="FQ42" s="5">
        <v>0.76600000000000001</v>
      </c>
      <c r="FR42" s="5">
        <v>0.80259999999999998</v>
      </c>
      <c r="FS42" s="5">
        <v>0.8014</v>
      </c>
      <c r="FT42" s="5">
        <v>0.79039999999999999</v>
      </c>
      <c r="FU42" s="5">
        <v>0.78420000000000001</v>
      </c>
      <c r="FV42" s="5">
        <v>0.80649999999999999</v>
      </c>
      <c r="FW42" s="5">
        <v>0.8327</v>
      </c>
      <c r="FX42" s="5">
        <v>0.79459999999999997</v>
      </c>
      <c r="FY42" s="5">
        <v>0.8196</v>
      </c>
    </row>
    <row r="44" spans="1:181" x14ac:dyDescent="0.3">
      <c r="A44" s="4" t="s">
        <v>54</v>
      </c>
      <c r="B44" s="1">
        <v>45292</v>
      </c>
      <c r="C44" s="1">
        <v>45323</v>
      </c>
      <c r="D44" s="1">
        <v>45352</v>
      </c>
      <c r="E44" s="1">
        <v>45383</v>
      </c>
      <c r="F44" s="1">
        <v>45413</v>
      </c>
      <c r="G44" s="1">
        <v>45444</v>
      </c>
      <c r="H44" s="1">
        <v>45474</v>
      </c>
      <c r="I44" s="1">
        <v>45505</v>
      </c>
      <c r="J44" s="1">
        <v>45536</v>
      </c>
      <c r="K44" s="1">
        <v>45566</v>
      </c>
      <c r="L44" s="1">
        <v>45597</v>
      </c>
      <c r="M44" s="1">
        <v>45627</v>
      </c>
      <c r="N44" s="1">
        <v>45658</v>
      </c>
      <c r="O44" s="1">
        <v>45689</v>
      </c>
      <c r="P44" s="1">
        <v>45717</v>
      </c>
      <c r="Q44" s="1">
        <v>45748</v>
      </c>
      <c r="R44" s="1">
        <v>45778</v>
      </c>
      <c r="S44" s="1">
        <v>45809</v>
      </c>
      <c r="T44" s="1">
        <v>45839</v>
      </c>
      <c r="U44" s="1">
        <v>45870</v>
      </c>
      <c r="V44" s="1">
        <v>45901</v>
      </c>
      <c r="W44" s="1">
        <v>45931</v>
      </c>
      <c r="X44" s="1">
        <v>45962</v>
      </c>
      <c r="Y44" s="1">
        <v>45992</v>
      </c>
      <c r="Z44" s="1">
        <v>46023</v>
      </c>
      <c r="AA44" s="1">
        <v>46054</v>
      </c>
      <c r="AB44" s="1">
        <v>46082</v>
      </c>
      <c r="AC44" s="1">
        <v>46113</v>
      </c>
      <c r="AD44" s="1">
        <v>46143</v>
      </c>
      <c r="AE44" s="1">
        <v>46174</v>
      </c>
      <c r="AF44" s="1">
        <v>46204</v>
      </c>
      <c r="AG44" s="1">
        <v>46235</v>
      </c>
      <c r="AH44" s="1">
        <v>46266</v>
      </c>
      <c r="AI44" s="1">
        <v>46296</v>
      </c>
      <c r="AJ44" s="1">
        <v>46327</v>
      </c>
      <c r="AK44" s="1">
        <v>46357</v>
      </c>
      <c r="AL44" s="1">
        <v>46388</v>
      </c>
      <c r="AM44" s="1">
        <v>46419</v>
      </c>
      <c r="AN44" s="1">
        <v>46447</v>
      </c>
      <c r="AO44" s="1">
        <v>46478</v>
      </c>
      <c r="AP44" s="1">
        <v>46508</v>
      </c>
      <c r="AQ44" s="1">
        <v>46539</v>
      </c>
      <c r="AR44" s="1">
        <v>46569</v>
      </c>
      <c r="AS44" s="1">
        <v>46600</v>
      </c>
      <c r="AT44" s="1">
        <v>46631</v>
      </c>
      <c r="AU44" s="1">
        <v>46661</v>
      </c>
      <c r="AV44" s="1">
        <v>46692</v>
      </c>
      <c r="AW44" s="1">
        <v>46722</v>
      </c>
      <c r="AX44" s="1">
        <v>46753</v>
      </c>
      <c r="AY44" s="1">
        <v>46784</v>
      </c>
      <c r="AZ44" s="1">
        <v>46813</v>
      </c>
      <c r="BA44" s="1">
        <v>46844</v>
      </c>
      <c r="BB44" s="1">
        <v>46874</v>
      </c>
      <c r="BC44" s="1">
        <v>46905</v>
      </c>
      <c r="BD44" s="1">
        <v>46935</v>
      </c>
      <c r="BE44" s="1">
        <v>46966</v>
      </c>
      <c r="BF44" s="1">
        <v>46997</v>
      </c>
      <c r="BG44" s="1">
        <v>47027</v>
      </c>
      <c r="BH44" s="1">
        <v>47058</v>
      </c>
      <c r="BI44" s="1">
        <v>47088</v>
      </c>
      <c r="BJ44" s="1">
        <v>47119</v>
      </c>
      <c r="BK44" s="1">
        <v>47150</v>
      </c>
      <c r="BL44" s="1">
        <v>47178</v>
      </c>
      <c r="BM44" s="1">
        <v>47209</v>
      </c>
      <c r="BN44" s="1">
        <v>47239</v>
      </c>
      <c r="BO44" s="1">
        <v>47270</v>
      </c>
      <c r="BP44" s="1">
        <v>47300</v>
      </c>
      <c r="BQ44" s="1">
        <v>47331</v>
      </c>
      <c r="BR44" s="1">
        <v>47362</v>
      </c>
      <c r="BS44" s="1">
        <v>47392</v>
      </c>
      <c r="BT44" s="1">
        <v>47423</v>
      </c>
      <c r="BU44" s="1">
        <v>47453</v>
      </c>
      <c r="BV44" s="1">
        <v>47484</v>
      </c>
      <c r="BW44" s="1">
        <v>47515</v>
      </c>
      <c r="BX44" s="1">
        <v>47543</v>
      </c>
      <c r="BY44" s="1">
        <v>47574</v>
      </c>
      <c r="BZ44" s="1">
        <v>47604</v>
      </c>
      <c r="CA44" s="1">
        <v>47635</v>
      </c>
      <c r="CB44" s="1">
        <v>47665</v>
      </c>
      <c r="CC44" s="1">
        <v>47696</v>
      </c>
      <c r="CD44" s="1">
        <v>47727</v>
      </c>
      <c r="CE44" s="1">
        <v>47757</v>
      </c>
      <c r="CF44" s="1">
        <v>47788</v>
      </c>
      <c r="CG44" s="1">
        <v>47818</v>
      </c>
      <c r="CH44" s="1">
        <v>47849</v>
      </c>
      <c r="CI44" s="1">
        <v>47880</v>
      </c>
      <c r="CJ44" s="1">
        <v>47908</v>
      </c>
      <c r="CK44" s="1">
        <v>47939</v>
      </c>
      <c r="CL44" s="1">
        <v>47969</v>
      </c>
      <c r="CM44" s="1">
        <v>48000</v>
      </c>
      <c r="CN44" s="1">
        <v>48030</v>
      </c>
      <c r="CO44" s="1">
        <v>48061</v>
      </c>
      <c r="CP44" s="1">
        <v>48092</v>
      </c>
      <c r="CQ44" s="1">
        <v>48122</v>
      </c>
      <c r="CR44" s="1">
        <v>48153</v>
      </c>
      <c r="CS44" s="1">
        <v>48183</v>
      </c>
      <c r="CT44" s="1">
        <v>48214</v>
      </c>
      <c r="CU44" s="1">
        <v>48245</v>
      </c>
      <c r="CV44" s="1">
        <v>48274</v>
      </c>
      <c r="CW44" s="1">
        <v>48305</v>
      </c>
      <c r="CX44" s="1">
        <v>48335</v>
      </c>
      <c r="CY44" s="1">
        <v>48366</v>
      </c>
      <c r="CZ44" s="1">
        <v>48396</v>
      </c>
      <c r="DA44" s="1">
        <v>48427</v>
      </c>
      <c r="DB44" s="1">
        <v>48458</v>
      </c>
      <c r="DC44" s="1">
        <v>48488</v>
      </c>
      <c r="DD44" s="1">
        <v>48519</v>
      </c>
      <c r="DE44" s="1">
        <v>48549</v>
      </c>
      <c r="DF44" s="1">
        <v>48580</v>
      </c>
      <c r="DG44" s="1">
        <v>48611</v>
      </c>
      <c r="DH44" s="1">
        <v>48639</v>
      </c>
      <c r="DI44" s="1">
        <v>48670</v>
      </c>
      <c r="DJ44" s="1">
        <v>48700</v>
      </c>
      <c r="DK44" s="1">
        <v>48731</v>
      </c>
      <c r="DL44" s="1">
        <v>48761</v>
      </c>
      <c r="DM44" s="1">
        <v>48792</v>
      </c>
      <c r="DN44" s="1">
        <v>48823</v>
      </c>
      <c r="DO44" s="1">
        <v>48853</v>
      </c>
      <c r="DP44" s="1">
        <v>48884</v>
      </c>
      <c r="DQ44" s="1">
        <v>48914</v>
      </c>
      <c r="DR44" s="1">
        <v>48945</v>
      </c>
      <c r="DS44" s="1">
        <v>48976</v>
      </c>
      <c r="DT44" s="1">
        <v>49004</v>
      </c>
      <c r="DU44" s="1">
        <v>49035</v>
      </c>
      <c r="DV44" s="1">
        <v>49065</v>
      </c>
      <c r="DW44" s="1">
        <v>49096</v>
      </c>
      <c r="DX44" s="1">
        <v>49126</v>
      </c>
      <c r="DY44" s="1">
        <v>49157</v>
      </c>
      <c r="DZ44" s="1">
        <v>49188</v>
      </c>
      <c r="EA44" s="1">
        <v>49218</v>
      </c>
      <c r="EB44" s="1">
        <v>49249</v>
      </c>
      <c r="EC44" s="1">
        <v>49279</v>
      </c>
      <c r="ED44" s="1">
        <v>49310</v>
      </c>
      <c r="EE44" s="1">
        <v>49341</v>
      </c>
      <c r="EF44" s="1">
        <v>49369</v>
      </c>
      <c r="EG44" s="1">
        <v>49400</v>
      </c>
      <c r="EH44" s="1">
        <v>49430</v>
      </c>
      <c r="EI44" s="1">
        <v>49461</v>
      </c>
      <c r="EJ44" s="1">
        <v>49491</v>
      </c>
      <c r="EK44" s="1">
        <v>49522</v>
      </c>
      <c r="EL44" s="1">
        <v>49553</v>
      </c>
      <c r="EM44" s="1">
        <v>49583</v>
      </c>
      <c r="EN44" s="1">
        <v>49614</v>
      </c>
      <c r="EO44" s="1">
        <v>49644</v>
      </c>
      <c r="EP44" s="1">
        <v>49675</v>
      </c>
      <c r="EQ44" s="1">
        <v>49706</v>
      </c>
      <c r="ER44" s="1">
        <v>49735</v>
      </c>
      <c r="ES44" s="1">
        <v>49766</v>
      </c>
      <c r="ET44" s="1">
        <v>49796</v>
      </c>
      <c r="EU44" s="1">
        <v>49827</v>
      </c>
      <c r="EV44" s="1">
        <v>49857</v>
      </c>
      <c r="EW44" s="1">
        <v>49888</v>
      </c>
      <c r="EX44" s="1">
        <v>49919</v>
      </c>
      <c r="EY44" s="1">
        <v>49949</v>
      </c>
      <c r="EZ44" s="1">
        <v>49980</v>
      </c>
      <c r="FA44" s="1">
        <v>50010</v>
      </c>
      <c r="FB44" s="1">
        <v>50041</v>
      </c>
      <c r="FC44" s="1">
        <v>50072</v>
      </c>
      <c r="FD44" s="1">
        <v>50100</v>
      </c>
      <c r="FE44" s="1">
        <v>50131</v>
      </c>
      <c r="FF44" s="1">
        <v>50161</v>
      </c>
      <c r="FG44" s="1">
        <v>50192</v>
      </c>
      <c r="FH44" s="1">
        <v>50222</v>
      </c>
      <c r="FI44" s="1">
        <v>50253</v>
      </c>
      <c r="FJ44" s="1">
        <v>50284</v>
      </c>
      <c r="FK44" s="1">
        <v>50314</v>
      </c>
      <c r="FL44" s="1">
        <v>50345</v>
      </c>
      <c r="FM44" s="1">
        <v>50375</v>
      </c>
      <c r="FN44" s="1">
        <v>50406</v>
      </c>
      <c r="FO44" s="1">
        <v>50437</v>
      </c>
      <c r="FP44" s="1">
        <v>50465</v>
      </c>
      <c r="FQ44" s="1">
        <v>50496</v>
      </c>
      <c r="FR44" s="1">
        <v>50526</v>
      </c>
      <c r="FS44" s="1">
        <v>50557</v>
      </c>
      <c r="FT44" s="1">
        <v>50587</v>
      </c>
      <c r="FU44" s="1">
        <v>50618</v>
      </c>
      <c r="FV44" s="1">
        <v>50649</v>
      </c>
      <c r="FW44" s="1">
        <v>50679</v>
      </c>
      <c r="FX44" s="1">
        <v>50710</v>
      </c>
      <c r="FY44" s="1">
        <v>50740</v>
      </c>
    </row>
    <row r="45" spans="1:181" x14ac:dyDescent="0.3">
      <c r="A45" s="2">
        <v>1</v>
      </c>
      <c r="B45" s="16">
        <f>AVERAGE(B39,B33,B27,B21,B15,B9,B3)</f>
        <v>1.2999142857142856</v>
      </c>
      <c r="C45" s="16">
        <f t="shared" ref="C45:BN45" si="0">AVERAGE(C39,C33,C27,C21,C15,C9,C3)</f>
        <v>1.3134857142857144</v>
      </c>
      <c r="D45" s="16">
        <f t="shared" si="0"/>
        <v>1.3382000000000001</v>
      </c>
      <c r="E45" s="16">
        <f t="shared" si="0"/>
        <v>1.3547428571428572</v>
      </c>
      <c r="F45" s="16">
        <f t="shared" si="0"/>
        <v>1.4460571428571427</v>
      </c>
      <c r="G45" s="16">
        <f t="shared" si="0"/>
        <v>1.3947714285714283</v>
      </c>
      <c r="H45" s="16">
        <f t="shared" si="0"/>
        <v>1.3970714285714287</v>
      </c>
      <c r="I45" s="16">
        <f t="shared" si="0"/>
        <v>1.3382857142857143</v>
      </c>
      <c r="J45" s="16">
        <f t="shared" si="0"/>
        <v>1.2671142857142859</v>
      </c>
      <c r="K45" s="16">
        <f t="shared" si="0"/>
        <v>1.3326714285714287</v>
      </c>
      <c r="L45" s="16">
        <f t="shared" si="0"/>
        <v>1.3918142857142857</v>
      </c>
      <c r="M45" s="16">
        <f t="shared" si="0"/>
        <v>1.3467857142857143</v>
      </c>
      <c r="N45" s="16">
        <f t="shared" si="0"/>
        <v>1.316057142857143</v>
      </c>
      <c r="O45" s="16">
        <f t="shared" si="0"/>
        <v>1.3247</v>
      </c>
      <c r="P45" s="16">
        <f t="shared" si="0"/>
        <v>1.3659999999999999</v>
      </c>
      <c r="Q45" s="16">
        <f t="shared" si="0"/>
        <v>1.3711714285714287</v>
      </c>
      <c r="R45" s="16">
        <f t="shared" si="0"/>
        <v>1.4614142857142856</v>
      </c>
      <c r="S45" s="16">
        <f t="shared" si="0"/>
        <v>1.4074428571428572</v>
      </c>
      <c r="T45" s="16">
        <f t="shared" si="0"/>
        <v>1.4097999999999999</v>
      </c>
      <c r="U45" s="16">
        <f t="shared" si="0"/>
        <v>1.3485142857142858</v>
      </c>
      <c r="V45" s="16">
        <f t="shared" si="0"/>
        <v>1.2737428571428571</v>
      </c>
      <c r="W45" s="16">
        <f t="shared" si="0"/>
        <v>1.3422714285714286</v>
      </c>
      <c r="X45" s="16">
        <f t="shared" si="0"/>
        <v>1.4019428571428574</v>
      </c>
      <c r="Y45" s="16">
        <f t="shared" si="0"/>
        <v>1.3546857142857143</v>
      </c>
      <c r="Z45" s="16">
        <f t="shared" si="0"/>
        <v>1.3243714285714285</v>
      </c>
      <c r="AA45" s="16">
        <f t="shared" si="0"/>
        <v>1.3328285714285715</v>
      </c>
      <c r="AB45" s="16">
        <f t="shared" si="0"/>
        <v>1.3745571428571428</v>
      </c>
      <c r="AC45" s="16">
        <f t="shared" si="0"/>
        <v>1.3791285714285715</v>
      </c>
      <c r="AD45" s="16">
        <f t="shared" si="0"/>
        <v>1.4671428571428571</v>
      </c>
      <c r="AE45" s="16">
        <f t="shared" si="0"/>
        <v>1.4132714285714285</v>
      </c>
      <c r="AF45" s="16">
        <f t="shared" si="0"/>
        <v>1.4166000000000001</v>
      </c>
      <c r="AG45" s="16">
        <f t="shared" si="0"/>
        <v>1.3543714285714283</v>
      </c>
      <c r="AH45" s="16">
        <f t="shared" si="0"/>
        <v>1.2785571428571427</v>
      </c>
      <c r="AI45" s="16">
        <f t="shared" si="0"/>
        <v>1.3480142857142856</v>
      </c>
      <c r="AJ45" s="16">
        <f t="shared" si="0"/>
        <v>1.407057142857143</v>
      </c>
      <c r="AK45" s="16">
        <f t="shared" si="0"/>
        <v>1.3598999999999999</v>
      </c>
      <c r="AL45" s="16">
        <f t="shared" si="0"/>
        <v>1.3285</v>
      </c>
      <c r="AM45" s="16">
        <f t="shared" si="0"/>
        <v>1.3354142857142857</v>
      </c>
      <c r="AN45" s="16">
        <f t="shared" si="0"/>
        <v>1.377114285714286</v>
      </c>
      <c r="AO45" s="16">
        <f t="shared" si="0"/>
        <v>1.3820714285714284</v>
      </c>
      <c r="AP45" s="16">
        <f t="shared" si="0"/>
        <v>1.4700571428571425</v>
      </c>
      <c r="AQ45" s="16">
        <f t="shared" si="0"/>
        <v>1.4178714285714287</v>
      </c>
      <c r="AR45" s="16">
        <f t="shared" si="0"/>
        <v>1.4221857142857142</v>
      </c>
      <c r="AS45" s="16">
        <f t="shared" si="0"/>
        <v>1.3604857142857143</v>
      </c>
      <c r="AT45" s="16">
        <f t="shared" si="0"/>
        <v>1.2844142857142857</v>
      </c>
      <c r="AU45" s="16">
        <f t="shared" si="0"/>
        <v>1.3527285714285711</v>
      </c>
      <c r="AV45" s="16">
        <f t="shared" si="0"/>
        <v>1.4099571428571427</v>
      </c>
      <c r="AW45" s="16">
        <f t="shared" si="0"/>
        <v>1.3627714285714287</v>
      </c>
      <c r="AX45" s="16">
        <f t="shared" si="0"/>
        <v>1.3333285714285714</v>
      </c>
      <c r="AY45" s="16">
        <f t="shared" si="0"/>
        <v>1.3418142857142856</v>
      </c>
      <c r="AZ45" s="16">
        <f t="shared" si="0"/>
        <v>1.3697428571428572</v>
      </c>
      <c r="BA45" s="16">
        <f t="shared" si="0"/>
        <v>1.3828142857142858</v>
      </c>
      <c r="BB45" s="16">
        <f t="shared" si="0"/>
        <v>1.4706571428571429</v>
      </c>
      <c r="BC45" s="16">
        <f t="shared" si="0"/>
        <v>1.4209285714285713</v>
      </c>
      <c r="BD45" s="16">
        <f t="shared" si="0"/>
        <v>1.4264999999999997</v>
      </c>
      <c r="BE45" s="16">
        <f t="shared" si="0"/>
        <v>1.365142857142857</v>
      </c>
      <c r="BF45" s="16">
        <f t="shared" si="0"/>
        <v>1.2891857142857144</v>
      </c>
      <c r="BG45" s="16">
        <f t="shared" si="0"/>
        <v>1.3556000000000001</v>
      </c>
      <c r="BH45" s="16">
        <f t="shared" si="0"/>
        <v>1.4106428571428573</v>
      </c>
      <c r="BI45" s="16">
        <f t="shared" si="0"/>
        <v>1.3641428571428571</v>
      </c>
      <c r="BJ45" s="16">
        <f t="shared" si="0"/>
        <v>1.3335285714285714</v>
      </c>
      <c r="BK45" s="16">
        <f t="shared" si="0"/>
        <v>1.3356571428571427</v>
      </c>
      <c r="BL45" s="16">
        <f t="shared" si="0"/>
        <v>1.3767285714285715</v>
      </c>
      <c r="BM45" s="16">
        <f t="shared" si="0"/>
        <v>1.3825428571428573</v>
      </c>
      <c r="BN45" s="16">
        <f t="shared" si="0"/>
        <v>1.4707142857142856</v>
      </c>
      <c r="BO45" s="16">
        <f t="shared" ref="BO45:DZ45" si="1">AVERAGE(BO39,BO33,BO27,BO21,BO15,BO9,BO3)</f>
        <v>1.4265142857142858</v>
      </c>
      <c r="BP45" s="16">
        <f t="shared" si="1"/>
        <v>1.4344999999999999</v>
      </c>
      <c r="BQ45" s="16">
        <f t="shared" si="1"/>
        <v>1.3747</v>
      </c>
      <c r="BR45" s="16">
        <f t="shared" si="1"/>
        <v>1.296442857142857</v>
      </c>
      <c r="BS45" s="16">
        <f t="shared" si="1"/>
        <v>1.3614571428571429</v>
      </c>
      <c r="BT45" s="16">
        <f t="shared" si="1"/>
        <v>1.4131571428571428</v>
      </c>
      <c r="BU45" s="16">
        <f t="shared" si="1"/>
        <v>1.3660999999999999</v>
      </c>
      <c r="BV45" s="16">
        <f t="shared" si="1"/>
        <v>1.3338285714285714</v>
      </c>
      <c r="BW45" s="16">
        <f t="shared" si="1"/>
        <v>1.3350000000000002</v>
      </c>
      <c r="BX45" s="16">
        <f t="shared" si="1"/>
        <v>1.3757714285714289</v>
      </c>
      <c r="BY45" s="16">
        <f t="shared" si="1"/>
        <v>1.3818142857142859</v>
      </c>
      <c r="BZ45" s="16">
        <f t="shared" si="1"/>
        <v>1.4698999999999998</v>
      </c>
      <c r="CA45" s="16">
        <f t="shared" si="1"/>
        <v>1.4288999999999998</v>
      </c>
      <c r="CB45" s="16">
        <f t="shared" si="1"/>
        <v>1.4388714285714286</v>
      </c>
      <c r="CC45" s="16">
        <f t="shared" si="1"/>
        <v>1.3798428571428569</v>
      </c>
      <c r="CD45" s="16">
        <f t="shared" si="1"/>
        <v>1.3008857142857144</v>
      </c>
      <c r="CE45" s="16">
        <f t="shared" si="1"/>
        <v>1.3638571428571427</v>
      </c>
      <c r="CF45" s="16">
        <f t="shared" si="1"/>
        <v>1.4133142857142857</v>
      </c>
      <c r="CG45" s="16">
        <f t="shared" si="1"/>
        <v>1.3662571428571426</v>
      </c>
      <c r="CH45" s="16">
        <f t="shared" si="1"/>
        <v>1.3340142857142856</v>
      </c>
      <c r="CI45" s="16">
        <f t="shared" si="1"/>
        <v>1.3339571428571426</v>
      </c>
      <c r="CJ45" s="16">
        <f t="shared" si="1"/>
        <v>1.3742428571428571</v>
      </c>
      <c r="CK45" s="16">
        <f t="shared" si="1"/>
        <v>1.3804000000000001</v>
      </c>
      <c r="CL45" s="16">
        <f t="shared" si="1"/>
        <v>1.4680428571428572</v>
      </c>
      <c r="CM45" s="16">
        <f t="shared" si="1"/>
        <v>1.4308571428571428</v>
      </c>
      <c r="CN45" s="16">
        <f t="shared" si="1"/>
        <v>1.4429571428571428</v>
      </c>
      <c r="CO45" s="16">
        <f t="shared" si="1"/>
        <v>1.3848285714285713</v>
      </c>
      <c r="CP45" s="16">
        <f t="shared" si="1"/>
        <v>1.3049428571428572</v>
      </c>
      <c r="CQ45" s="16">
        <f t="shared" si="1"/>
        <v>1.3653571428571429</v>
      </c>
      <c r="CR45" s="16">
        <f t="shared" si="1"/>
        <v>1.4134285714285717</v>
      </c>
      <c r="CS45" s="16">
        <f t="shared" si="1"/>
        <v>1.3647428571428573</v>
      </c>
      <c r="CT45" s="16">
        <f t="shared" si="1"/>
        <v>1.3333285714285714</v>
      </c>
      <c r="CU45" s="16">
        <f t="shared" si="1"/>
        <v>1.3365571428571428</v>
      </c>
      <c r="CV45" s="16">
        <f t="shared" si="1"/>
        <v>1.3639428571428573</v>
      </c>
      <c r="CW45" s="16">
        <f t="shared" si="1"/>
        <v>1.3780428571428571</v>
      </c>
      <c r="CX45" s="16">
        <f t="shared" si="1"/>
        <v>1.4652142857142856</v>
      </c>
      <c r="CY45" s="16">
        <f t="shared" si="1"/>
        <v>1.431657142857143</v>
      </c>
      <c r="CZ45" s="16">
        <f t="shared" si="1"/>
        <v>1.4461142857142857</v>
      </c>
      <c r="DA45" s="16">
        <f t="shared" si="1"/>
        <v>1.3890714285714285</v>
      </c>
      <c r="DB45" s="16">
        <f t="shared" si="1"/>
        <v>1.3085714285714285</v>
      </c>
      <c r="DC45" s="16">
        <f t="shared" si="1"/>
        <v>1.3658714285714286</v>
      </c>
      <c r="DD45" s="16">
        <f t="shared" si="1"/>
        <v>1.4110571428571428</v>
      </c>
      <c r="DE45" s="16">
        <f t="shared" si="1"/>
        <v>1.3628285714285713</v>
      </c>
      <c r="DF45" s="16">
        <f t="shared" si="1"/>
        <v>1.3305142857142855</v>
      </c>
      <c r="DG45" s="16">
        <f t="shared" si="1"/>
        <v>1.3282857142857143</v>
      </c>
      <c r="DH45" s="16">
        <f t="shared" si="1"/>
        <v>1.3679714285714286</v>
      </c>
      <c r="DI45" s="16">
        <f t="shared" si="1"/>
        <v>1.3742999999999999</v>
      </c>
      <c r="DJ45" s="16">
        <f t="shared" si="1"/>
        <v>1.4610428571428571</v>
      </c>
      <c r="DK45" s="16">
        <f t="shared" si="1"/>
        <v>1.4314000000000002</v>
      </c>
      <c r="DL45" s="16">
        <f t="shared" si="1"/>
        <v>1.4487142857142856</v>
      </c>
      <c r="DM45" s="16">
        <f t="shared" si="1"/>
        <v>1.3932</v>
      </c>
      <c r="DN45" s="16">
        <f t="shared" si="1"/>
        <v>1.3115142857142856</v>
      </c>
      <c r="DO45" s="16">
        <f t="shared" si="1"/>
        <v>1.3661285714285714</v>
      </c>
      <c r="DP45" s="16">
        <f t="shared" si="1"/>
        <v>1.4093571428571428</v>
      </c>
      <c r="DQ45" s="16">
        <f t="shared" si="1"/>
        <v>1.3602142857142856</v>
      </c>
      <c r="DR45" s="16">
        <f t="shared" si="1"/>
        <v>1.3284142857142858</v>
      </c>
      <c r="DS45" s="16">
        <f t="shared" si="1"/>
        <v>1.3251285714285714</v>
      </c>
      <c r="DT45" s="16">
        <f t="shared" si="1"/>
        <v>1.3644999999999998</v>
      </c>
      <c r="DU45" s="16">
        <f t="shared" si="1"/>
        <v>1.3709285714285715</v>
      </c>
      <c r="DV45" s="16">
        <f t="shared" si="1"/>
        <v>1.4570714285714286</v>
      </c>
      <c r="DW45" s="16">
        <f t="shared" si="1"/>
        <v>1.4311</v>
      </c>
      <c r="DX45" s="16">
        <f t="shared" si="1"/>
        <v>1.451057142857143</v>
      </c>
      <c r="DY45" s="16">
        <f t="shared" si="1"/>
        <v>1.397342857142857</v>
      </c>
      <c r="DZ45" s="16">
        <f t="shared" si="1"/>
        <v>1.3146428571428572</v>
      </c>
      <c r="EA45" s="16">
        <f t="shared" ref="EA45:FY45" si="2">AVERAGE(EA39,EA33,EA27,EA21,EA15,EA9,EA3)</f>
        <v>1.3658999999999999</v>
      </c>
      <c r="EB45" s="16">
        <f t="shared" si="2"/>
        <v>1.4068428571428571</v>
      </c>
      <c r="EC45" s="16">
        <f t="shared" si="2"/>
        <v>1.3575999999999999</v>
      </c>
      <c r="ED45" s="16">
        <f t="shared" si="2"/>
        <v>1.3261714285714288</v>
      </c>
      <c r="EE45" s="16">
        <f t="shared" si="2"/>
        <v>1.3219285714285713</v>
      </c>
      <c r="EF45" s="16">
        <f t="shared" si="2"/>
        <v>1.361057142857143</v>
      </c>
      <c r="EG45" s="16">
        <f t="shared" si="2"/>
        <v>1.3676285714285714</v>
      </c>
      <c r="EH45" s="16">
        <f t="shared" si="2"/>
        <v>1.4530857142857143</v>
      </c>
      <c r="EI45" s="16">
        <f t="shared" si="2"/>
        <v>1.4305000000000001</v>
      </c>
      <c r="EJ45" s="16">
        <f t="shared" si="2"/>
        <v>1.4528571428571428</v>
      </c>
      <c r="EK45" s="16">
        <f t="shared" si="2"/>
        <v>1.4012428571428572</v>
      </c>
      <c r="EL45" s="16">
        <f t="shared" si="2"/>
        <v>1.3175428571428571</v>
      </c>
      <c r="EM45" s="16">
        <f t="shared" si="2"/>
        <v>1.3650714285714289</v>
      </c>
      <c r="EN45" s="16">
        <f t="shared" si="2"/>
        <v>1.4042999999999999</v>
      </c>
      <c r="EO45" s="16">
        <f t="shared" si="2"/>
        <v>1.3528</v>
      </c>
      <c r="EP45" s="16">
        <f t="shared" si="2"/>
        <v>1.3242285714285715</v>
      </c>
      <c r="EQ45" s="16">
        <f t="shared" si="2"/>
        <v>1.3176428571428571</v>
      </c>
      <c r="ER45" s="16">
        <f t="shared" si="2"/>
        <v>1.3505285714285713</v>
      </c>
      <c r="ES45" s="16">
        <f t="shared" si="2"/>
        <v>1.3641142857142856</v>
      </c>
      <c r="ET45" s="16">
        <f t="shared" si="2"/>
        <v>1.4486285714285714</v>
      </c>
      <c r="EU45" s="16">
        <f t="shared" si="2"/>
        <v>1.429742857142857</v>
      </c>
      <c r="EV45" s="16">
        <f t="shared" si="2"/>
        <v>1.4542142857142859</v>
      </c>
      <c r="EW45" s="16">
        <f t="shared" si="2"/>
        <v>1.4050428571428573</v>
      </c>
      <c r="EX45" s="16">
        <f t="shared" si="2"/>
        <v>1.3199857142857143</v>
      </c>
      <c r="EY45" s="16">
        <f t="shared" si="2"/>
        <v>1.3633142857142857</v>
      </c>
      <c r="EZ45" s="16">
        <f t="shared" si="2"/>
        <v>1.4002571428571429</v>
      </c>
      <c r="FA45" s="16">
        <f t="shared" si="2"/>
        <v>1.3501285714285713</v>
      </c>
      <c r="FB45" s="16">
        <f t="shared" si="2"/>
        <v>1.3207285714285713</v>
      </c>
      <c r="FC45" s="16">
        <f t="shared" si="2"/>
        <v>1.314942857142857</v>
      </c>
      <c r="FD45" s="16">
        <f t="shared" si="2"/>
        <v>1.3534857142857142</v>
      </c>
      <c r="FE45" s="16">
        <f t="shared" si="2"/>
        <v>1.3600857142857143</v>
      </c>
      <c r="FF45" s="16">
        <f t="shared" si="2"/>
        <v>1.443842857142857</v>
      </c>
      <c r="FG45" s="16">
        <f t="shared" si="2"/>
        <v>1.4286857142857143</v>
      </c>
      <c r="FH45" s="16">
        <f t="shared" si="2"/>
        <v>1.4551714285714288</v>
      </c>
      <c r="FI45" s="16">
        <f t="shared" si="2"/>
        <v>1.4090857142857143</v>
      </c>
      <c r="FJ45" s="16">
        <f t="shared" si="2"/>
        <v>1.3222571428571428</v>
      </c>
      <c r="FK45" s="16">
        <f t="shared" si="2"/>
        <v>1.3618571428571431</v>
      </c>
      <c r="FL45" s="16">
        <f t="shared" si="2"/>
        <v>1.3977142857142859</v>
      </c>
      <c r="FM45" s="16">
        <f t="shared" si="2"/>
        <v>1.3473857142857142</v>
      </c>
      <c r="FN45" s="16">
        <f t="shared" si="2"/>
        <v>1.3193999999999999</v>
      </c>
      <c r="FO45" s="16">
        <f t="shared" si="2"/>
        <v>1.3116000000000001</v>
      </c>
      <c r="FP45" s="16">
        <f t="shared" si="2"/>
        <v>1.350657142857143</v>
      </c>
      <c r="FQ45" s="16">
        <f t="shared" si="2"/>
        <v>1.3565</v>
      </c>
      <c r="FR45" s="16">
        <f t="shared" si="2"/>
        <v>1.4395571428571432</v>
      </c>
      <c r="FS45" s="16">
        <f t="shared" si="2"/>
        <v>1.4276</v>
      </c>
      <c r="FT45" s="16">
        <f t="shared" si="2"/>
        <v>1.4552714285714285</v>
      </c>
      <c r="FU45" s="16">
        <f t="shared" si="2"/>
        <v>1.4124714285714286</v>
      </c>
      <c r="FV45" s="16">
        <f t="shared" si="2"/>
        <v>1.3240714285714286</v>
      </c>
      <c r="FW45" s="16">
        <f t="shared" si="2"/>
        <v>1.3597999999999999</v>
      </c>
      <c r="FX45" s="16">
        <f t="shared" si="2"/>
        <v>1.3946571428571428</v>
      </c>
      <c r="FY45" s="16">
        <f t="shared" si="2"/>
        <v>1.3444</v>
      </c>
    </row>
    <row r="46" spans="1:181" x14ac:dyDescent="0.3">
      <c r="A46" s="2">
        <v>2</v>
      </c>
      <c r="B46" s="16">
        <f t="shared" ref="B46:BM46" si="3">AVERAGE(B40,B34,B28,B22,B16,B10,B4)</f>
        <v>1.109157142857143</v>
      </c>
      <c r="C46" s="16">
        <f t="shared" si="3"/>
        <v>1.098742857142857</v>
      </c>
      <c r="D46" s="16">
        <f t="shared" si="3"/>
        <v>1.1235571428571429</v>
      </c>
      <c r="E46" s="16">
        <f t="shared" si="3"/>
        <v>1.1426714285714286</v>
      </c>
      <c r="F46" s="16">
        <f t="shared" si="3"/>
        <v>1.1654714285714285</v>
      </c>
      <c r="G46" s="16">
        <f t="shared" si="3"/>
        <v>1.1448285714285713</v>
      </c>
      <c r="H46" s="16">
        <f t="shared" si="3"/>
        <v>1.1429000000000002</v>
      </c>
      <c r="I46" s="16">
        <f t="shared" si="3"/>
        <v>1.1484000000000001</v>
      </c>
      <c r="J46" s="16">
        <f t="shared" si="3"/>
        <v>1.1269714285714285</v>
      </c>
      <c r="K46" s="16">
        <f t="shared" si="3"/>
        <v>1.1195285714285714</v>
      </c>
      <c r="L46" s="16">
        <f t="shared" si="3"/>
        <v>1.1201285714285714</v>
      </c>
      <c r="M46" s="16">
        <f t="shared" si="3"/>
        <v>1.1297999999999999</v>
      </c>
      <c r="N46" s="16">
        <f t="shared" si="3"/>
        <v>1.1074857142857142</v>
      </c>
      <c r="O46" s="16">
        <f t="shared" si="3"/>
        <v>1.098257142857143</v>
      </c>
      <c r="P46" s="16">
        <f t="shared" si="3"/>
        <v>1.1303000000000001</v>
      </c>
      <c r="Q46" s="16">
        <f t="shared" si="3"/>
        <v>1.1443857142857143</v>
      </c>
      <c r="R46" s="16">
        <f t="shared" si="3"/>
        <v>1.1639428571428572</v>
      </c>
      <c r="S46" s="16">
        <f t="shared" si="3"/>
        <v>1.1479571428571429</v>
      </c>
      <c r="T46" s="16">
        <f t="shared" si="3"/>
        <v>1.1472714285714285</v>
      </c>
      <c r="U46" s="16">
        <f t="shared" si="3"/>
        <v>1.1536714285714285</v>
      </c>
      <c r="V46" s="16">
        <f t="shared" si="3"/>
        <v>1.1308714285714285</v>
      </c>
      <c r="W46" s="16">
        <f t="shared" si="3"/>
        <v>1.1222142857142856</v>
      </c>
      <c r="X46" s="16">
        <f t="shared" si="3"/>
        <v>1.1217428571428572</v>
      </c>
      <c r="Y46" s="16">
        <f t="shared" si="3"/>
        <v>1.1308142857142855</v>
      </c>
      <c r="Z46" s="16">
        <f t="shared" si="3"/>
        <v>1.1064428571428571</v>
      </c>
      <c r="AA46" s="16">
        <f t="shared" si="3"/>
        <v>1.1004428571428571</v>
      </c>
      <c r="AB46" s="16">
        <f t="shared" si="3"/>
        <v>1.1307142857142856</v>
      </c>
      <c r="AC46" s="16">
        <f t="shared" si="3"/>
        <v>1.1456857142857142</v>
      </c>
      <c r="AD46" s="16">
        <f t="shared" si="3"/>
        <v>1.1646285714285713</v>
      </c>
      <c r="AE46" s="16">
        <f t="shared" si="3"/>
        <v>1.1500571428571431</v>
      </c>
      <c r="AF46" s="16">
        <f t="shared" si="3"/>
        <v>1.1496142857142857</v>
      </c>
      <c r="AG46" s="16">
        <f t="shared" si="3"/>
        <v>1.1555285714285717</v>
      </c>
      <c r="AH46" s="16">
        <f t="shared" si="3"/>
        <v>1.1325857142857143</v>
      </c>
      <c r="AI46" s="16">
        <f t="shared" si="3"/>
        <v>1.1234</v>
      </c>
      <c r="AJ46" s="16">
        <f t="shared" si="3"/>
        <v>1.1232714285714285</v>
      </c>
      <c r="AK46" s="16">
        <f t="shared" si="3"/>
        <v>1.1323000000000001</v>
      </c>
      <c r="AL46" s="16">
        <f t="shared" si="3"/>
        <v>1.1079571428571426</v>
      </c>
      <c r="AM46" s="16">
        <f t="shared" si="3"/>
        <v>1.1035428571428572</v>
      </c>
      <c r="AN46" s="16">
        <f t="shared" si="3"/>
        <v>1.1331714285714285</v>
      </c>
      <c r="AO46" s="16">
        <f t="shared" si="3"/>
        <v>1.1481285714285714</v>
      </c>
      <c r="AP46" s="16">
        <f t="shared" si="3"/>
        <v>1.1664714285714286</v>
      </c>
      <c r="AQ46" s="16">
        <f t="shared" si="3"/>
        <v>1.1520428571428571</v>
      </c>
      <c r="AR46" s="16">
        <f t="shared" si="3"/>
        <v>1.1507714285714286</v>
      </c>
      <c r="AS46" s="16">
        <f t="shared" si="3"/>
        <v>1.156914285714286</v>
      </c>
      <c r="AT46" s="16">
        <f t="shared" si="3"/>
        <v>1.1340142857142859</v>
      </c>
      <c r="AU46" s="16">
        <f t="shared" si="3"/>
        <v>1.1248857142857143</v>
      </c>
      <c r="AV46" s="16">
        <f t="shared" si="3"/>
        <v>1.1256714285714284</v>
      </c>
      <c r="AW46" s="16">
        <f t="shared" si="3"/>
        <v>1.1345857142857141</v>
      </c>
      <c r="AX46" s="16">
        <f t="shared" si="3"/>
        <v>1.1094285714285717</v>
      </c>
      <c r="AY46" s="16">
        <f t="shared" si="3"/>
        <v>1.1104000000000001</v>
      </c>
      <c r="AZ46" s="16">
        <f t="shared" si="3"/>
        <v>1.1292714285714285</v>
      </c>
      <c r="BA46" s="16">
        <f t="shared" si="3"/>
        <v>1.1501714285714286</v>
      </c>
      <c r="BB46" s="16">
        <f t="shared" si="3"/>
        <v>1.1678285714285714</v>
      </c>
      <c r="BC46" s="16">
        <f t="shared" si="3"/>
        <v>1.153385714285714</v>
      </c>
      <c r="BD46" s="16">
        <f t="shared" si="3"/>
        <v>1.1516714285714287</v>
      </c>
      <c r="BE46" s="16">
        <f t="shared" si="3"/>
        <v>1.1575714285714285</v>
      </c>
      <c r="BF46" s="16">
        <f t="shared" si="3"/>
        <v>1.1347285714285713</v>
      </c>
      <c r="BG46" s="16">
        <f t="shared" si="3"/>
        <v>1.1258428571428571</v>
      </c>
      <c r="BH46" s="16">
        <f t="shared" si="3"/>
        <v>1.1273714285714285</v>
      </c>
      <c r="BI46" s="16">
        <f t="shared" si="3"/>
        <v>1.1366714285714286</v>
      </c>
      <c r="BJ46" s="16">
        <f t="shared" si="3"/>
        <v>1.1116285714285714</v>
      </c>
      <c r="BK46" s="16">
        <f t="shared" si="3"/>
        <v>1.1084714285714286</v>
      </c>
      <c r="BL46" s="16">
        <f t="shared" si="3"/>
        <v>1.137342857142857</v>
      </c>
      <c r="BM46" s="16">
        <f t="shared" si="3"/>
        <v>1.1521142857142856</v>
      </c>
      <c r="BN46" s="16">
        <f t="shared" ref="BN46:DY46" si="4">AVERAGE(BN40,BN34,BN28,BN22,BN16,BN10,BN4)</f>
        <v>1.1696285714285715</v>
      </c>
      <c r="BO46" s="16">
        <f t="shared" si="4"/>
        <v>1.1553142857142855</v>
      </c>
      <c r="BP46" s="16">
        <f t="shared" si="4"/>
        <v>1.1526714285714286</v>
      </c>
      <c r="BQ46" s="16">
        <f t="shared" si="4"/>
        <v>1.1580714285714286</v>
      </c>
      <c r="BR46" s="16">
        <f t="shared" si="4"/>
        <v>1.135542857142857</v>
      </c>
      <c r="BS46" s="16">
        <f t="shared" si="4"/>
        <v>1.1274571428571429</v>
      </c>
      <c r="BT46" s="16">
        <f t="shared" si="4"/>
        <v>1.1302857142857143</v>
      </c>
      <c r="BU46" s="16">
        <f t="shared" si="4"/>
        <v>1.1393</v>
      </c>
      <c r="BV46" s="16">
        <f t="shared" si="4"/>
        <v>1.1129857142857142</v>
      </c>
      <c r="BW46" s="16">
        <f t="shared" si="4"/>
        <v>1.1104999999999998</v>
      </c>
      <c r="BX46" s="16">
        <f t="shared" si="4"/>
        <v>1.1389285714285715</v>
      </c>
      <c r="BY46" s="16">
        <f t="shared" si="4"/>
        <v>1.1536428571428574</v>
      </c>
      <c r="BZ46" s="16">
        <f t="shared" si="4"/>
        <v>1.1708857142857145</v>
      </c>
      <c r="CA46" s="16">
        <f t="shared" si="4"/>
        <v>1.1569285714285713</v>
      </c>
      <c r="CB46" s="16">
        <f t="shared" si="4"/>
        <v>1.1536714285714287</v>
      </c>
      <c r="CC46" s="16">
        <f t="shared" si="4"/>
        <v>1.1585857142857143</v>
      </c>
      <c r="CD46" s="16">
        <f t="shared" si="4"/>
        <v>1.1361571428571429</v>
      </c>
      <c r="CE46" s="16">
        <f t="shared" si="4"/>
        <v>1.1285428571428571</v>
      </c>
      <c r="CF46" s="16">
        <f t="shared" si="4"/>
        <v>1.1320285714285714</v>
      </c>
      <c r="CG46" s="16">
        <f t="shared" si="4"/>
        <v>1.1411</v>
      </c>
      <c r="CH46" s="16">
        <f t="shared" si="4"/>
        <v>1.1144571428571428</v>
      </c>
      <c r="CI46" s="16">
        <f t="shared" si="4"/>
        <v>1.1122999999999998</v>
      </c>
      <c r="CJ46" s="16">
        <f t="shared" si="4"/>
        <v>1.1403285714285716</v>
      </c>
      <c r="CK46" s="16">
        <f t="shared" si="4"/>
        <v>1.1550571428571428</v>
      </c>
      <c r="CL46" s="16">
        <f t="shared" si="4"/>
        <v>1.1720857142857142</v>
      </c>
      <c r="CM46" s="16">
        <f t="shared" si="4"/>
        <v>1.1588857142857143</v>
      </c>
      <c r="CN46" s="16">
        <f t="shared" si="4"/>
        <v>1.1543571428571429</v>
      </c>
      <c r="CO46" s="16">
        <f t="shared" si="4"/>
        <v>1.1587428571428571</v>
      </c>
      <c r="CP46" s="16">
        <f t="shared" si="4"/>
        <v>1.1362857142857141</v>
      </c>
      <c r="CQ46" s="16">
        <f t="shared" si="4"/>
        <v>1.1293857142857144</v>
      </c>
      <c r="CR46" s="16">
        <f t="shared" si="4"/>
        <v>1.1335000000000002</v>
      </c>
      <c r="CS46" s="16">
        <f t="shared" si="4"/>
        <v>1.1422857142857143</v>
      </c>
      <c r="CT46" s="16">
        <f t="shared" si="4"/>
        <v>1.1158142857142859</v>
      </c>
      <c r="CU46" s="16">
        <f t="shared" si="4"/>
        <v>1.116842857142857</v>
      </c>
      <c r="CV46" s="16">
        <f t="shared" si="4"/>
        <v>1.1353285714285715</v>
      </c>
      <c r="CW46" s="16">
        <f t="shared" si="4"/>
        <v>1.1560571428571429</v>
      </c>
      <c r="CX46" s="16">
        <f t="shared" si="4"/>
        <v>1.1730714285714285</v>
      </c>
      <c r="CY46" s="16">
        <f t="shared" si="4"/>
        <v>1.1604285714285716</v>
      </c>
      <c r="CZ46" s="16">
        <f t="shared" si="4"/>
        <v>1.1545857142857141</v>
      </c>
      <c r="DA46" s="16">
        <f t="shared" si="4"/>
        <v>1.1583142857142856</v>
      </c>
      <c r="DB46" s="16">
        <f t="shared" si="4"/>
        <v>1.1359142857142857</v>
      </c>
      <c r="DC46" s="16">
        <f t="shared" si="4"/>
        <v>1.1298142857142857</v>
      </c>
      <c r="DD46" s="16">
        <f t="shared" si="4"/>
        <v>1.1345571428571428</v>
      </c>
      <c r="DE46" s="16">
        <f t="shared" si="4"/>
        <v>1.1435</v>
      </c>
      <c r="DF46" s="16">
        <f t="shared" si="4"/>
        <v>1.1158142857142856</v>
      </c>
      <c r="DG46" s="16">
        <f t="shared" si="4"/>
        <v>1.1132000000000002</v>
      </c>
      <c r="DH46" s="16">
        <f t="shared" si="4"/>
        <v>1.1415857142857144</v>
      </c>
      <c r="DI46" s="16">
        <f t="shared" si="4"/>
        <v>1.1562428571428571</v>
      </c>
      <c r="DJ46" s="16">
        <f t="shared" si="4"/>
        <v>1.1732857142857145</v>
      </c>
      <c r="DK46" s="16">
        <f t="shared" si="4"/>
        <v>1.1616714285714287</v>
      </c>
      <c r="DL46" s="16">
        <f t="shared" si="4"/>
        <v>1.1547857142857143</v>
      </c>
      <c r="DM46" s="16">
        <f t="shared" si="4"/>
        <v>1.1579285714285714</v>
      </c>
      <c r="DN46" s="16">
        <f t="shared" si="4"/>
        <v>1.1355428571428572</v>
      </c>
      <c r="DO46" s="16">
        <f t="shared" si="4"/>
        <v>1.1305000000000001</v>
      </c>
      <c r="DP46" s="16">
        <f t="shared" si="4"/>
        <v>1.1358571428571429</v>
      </c>
      <c r="DQ46" s="16">
        <f t="shared" si="4"/>
        <v>1.1442714285714286</v>
      </c>
      <c r="DR46" s="16">
        <f t="shared" si="4"/>
        <v>1.1164857142857141</v>
      </c>
      <c r="DS46" s="16">
        <f t="shared" si="4"/>
        <v>1.1134999999999999</v>
      </c>
      <c r="DT46" s="16">
        <f t="shared" si="4"/>
        <v>1.1421142857142859</v>
      </c>
      <c r="DU46" s="16">
        <f t="shared" si="4"/>
        <v>1.1567285714285713</v>
      </c>
      <c r="DV46" s="16">
        <f t="shared" si="4"/>
        <v>1.1737714285714287</v>
      </c>
      <c r="DW46" s="16">
        <f t="shared" si="4"/>
        <v>1.1634285714285715</v>
      </c>
      <c r="DX46" s="16">
        <f t="shared" si="4"/>
        <v>1.1555</v>
      </c>
      <c r="DY46" s="16">
        <f t="shared" si="4"/>
        <v>1.1578285714285712</v>
      </c>
      <c r="DZ46" s="16">
        <f t="shared" ref="DZ46:FY46" si="5">AVERAGE(DZ40,DZ34,DZ28,DZ22,DZ16,DZ10,DZ4)</f>
        <v>1.1355285714285714</v>
      </c>
      <c r="EA46" s="16">
        <f t="shared" si="5"/>
        <v>1.131342857142857</v>
      </c>
      <c r="EB46" s="16">
        <f t="shared" si="5"/>
        <v>1.136957142857143</v>
      </c>
      <c r="EC46" s="16">
        <f t="shared" si="5"/>
        <v>1.1451</v>
      </c>
      <c r="ED46" s="16">
        <f t="shared" si="5"/>
        <v>1.1170714285714285</v>
      </c>
      <c r="EE46" s="16">
        <f t="shared" si="5"/>
        <v>1.1137857142857144</v>
      </c>
      <c r="EF46" s="16">
        <f t="shared" si="5"/>
        <v>1.1425000000000001</v>
      </c>
      <c r="EG46" s="16">
        <f t="shared" si="5"/>
        <v>1.1570285714285713</v>
      </c>
      <c r="EH46" s="16">
        <f t="shared" si="5"/>
        <v>1.1743428571428571</v>
      </c>
      <c r="EI46" s="16">
        <f t="shared" si="5"/>
        <v>1.1651714285714285</v>
      </c>
      <c r="EJ46" s="16">
        <f t="shared" si="5"/>
        <v>1.1565285714285716</v>
      </c>
      <c r="EK46" s="16">
        <f t="shared" si="5"/>
        <v>1.1580999999999999</v>
      </c>
      <c r="EL46" s="16">
        <f t="shared" si="5"/>
        <v>1.1359142857142857</v>
      </c>
      <c r="EM46" s="16">
        <f t="shared" si="5"/>
        <v>1.1325000000000001</v>
      </c>
      <c r="EN46" s="16">
        <f t="shared" si="5"/>
        <v>1.1380999999999999</v>
      </c>
      <c r="EO46" s="16">
        <f t="shared" si="5"/>
        <v>1.1460428571428571</v>
      </c>
      <c r="EP46" s="16">
        <f t="shared" si="5"/>
        <v>1.1179857142857141</v>
      </c>
      <c r="EQ46" s="16">
        <f t="shared" si="5"/>
        <v>1.1180857142857143</v>
      </c>
      <c r="ER46" s="16">
        <f t="shared" si="5"/>
        <v>1.1371285714285715</v>
      </c>
      <c r="ES46" s="16">
        <f t="shared" si="5"/>
        <v>1.1574714285714285</v>
      </c>
      <c r="ET46" s="16">
        <f t="shared" si="5"/>
        <v>1.1747571428571428</v>
      </c>
      <c r="EU46" s="16">
        <f t="shared" si="5"/>
        <v>1.209842857142857</v>
      </c>
      <c r="EV46" s="16">
        <f t="shared" si="5"/>
        <v>1.1578142857142857</v>
      </c>
      <c r="EW46" s="16">
        <f t="shared" si="5"/>
        <v>1.1583428571428571</v>
      </c>
      <c r="EX46" s="16">
        <f t="shared" si="5"/>
        <v>1.1364000000000001</v>
      </c>
      <c r="EY46" s="16">
        <f t="shared" si="5"/>
        <v>1.1333</v>
      </c>
      <c r="EZ46" s="16">
        <f t="shared" si="5"/>
        <v>1.1387428571428571</v>
      </c>
      <c r="FA46" s="16">
        <f t="shared" si="5"/>
        <v>1.1467571428571428</v>
      </c>
      <c r="FB46" s="16">
        <f t="shared" si="5"/>
        <v>1.1178857142857141</v>
      </c>
      <c r="FC46" s="16">
        <f t="shared" si="5"/>
        <v>1.1139714285714286</v>
      </c>
      <c r="FD46" s="16">
        <f t="shared" si="5"/>
        <v>1.1429142857142855</v>
      </c>
      <c r="FE46" s="16">
        <f t="shared" si="5"/>
        <v>1.1574714285714285</v>
      </c>
      <c r="FF46" s="16">
        <f t="shared" si="5"/>
        <v>1.1749571428571428</v>
      </c>
      <c r="FG46" s="16">
        <f t="shared" si="5"/>
        <v>1.1684285714285714</v>
      </c>
      <c r="FH46" s="16">
        <f t="shared" si="5"/>
        <v>1.1596571428571429</v>
      </c>
      <c r="FI46" s="16">
        <f t="shared" si="5"/>
        <v>1.1589857142857143</v>
      </c>
      <c r="FJ46" s="16">
        <f t="shared" si="5"/>
        <v>1.1374</v>
      </c>
      <c r="FK46" s="16">
        <f t="shared" si="5"/>
        <v>1.1347428571428571</v>
      </c>
      <c r="FL46" s="16">
        <f t="shared" si="5"/>
        <v>1.1399571428571431</v>
      </c>
      <c r="FM46" s="16">
        <f t="shared" si="5"/>
        <v>1.1473285714285715</v>
      </c>
      <c r="FN46" s="16">
        <f t="shared" si="5"/>
        <v>1.1187</v>
      </c>
      <c r="FO46" s="16">
        <f t="shared" si="5"/>
        <v>1.1140857142857143</v>
      </c>
      <c r="FP46" s="16">
        <f t="shared" si="5"/>
        <v>1.1435571428571429</v>
      </c>
      <c r="FQ46" s="16">
        <f t="shared" si="5"/>
        <v>1.1576428571428572</v>
      </c>
      <c r="FR46" s="16">
        <f t="shared" si="5"/>
        <v>1.1752714285714287</v>
      </c>
      <c r="FS46" s="16">
        <f t="shared" si="5"/>
        <v>1.1700857142857146</v>
      </c>
      <c r="FT46" s="16">
        <f t="shared" si="5"/>
        <v>1.1614142857142855</v>
      </c>
      <c r="FU46" s="16">
        <f t="shared" si="5"/>
        <v>1.1605428571428571</v>
      </c>
      <c r="FV46" s="16">
        <f t="shared" si="5"/>
        <v>1.1387</v>
      </c>
      <c r="FW46" s="16">
        <f t="shared" si="5"/>
        <v>1.1361428571428571</v>
      </c>
      <c r="FX46" s="16">
        <f t="shared" si="5"/>
        <v>1.1407571428571428</v>
      </c>
      <c r="FY46" s="16">
        <f t="shared" si="5"/>
        <v>1.1475714285714285</v>
      </c>
    </row>
    <row r="47" spans="1:181" x14ac:dyDescent="0.3">
      <c r="A47" s="2">
        <v>3</v>
      </c>
      <c r="B47" s="16">
        <f t="shared" ref="B47:BM47" si="6">AVERAGE(B41,B35,B29,B23,B17,B11,B5)</f>
        <v>0.97465714285714278</v>
      </c>
      <c r="C47" s="16">
        <f t="shared" si="6"/>
        <v>0.96370000000000011</v>
      </c>
      <c r="D47" s="16">
        <f t="shared" si="6"/>
        <v>0.97319999999999995</v>
      </c>
      <c r="E47" s="16">
        <f t="shared" si="6"/>
        <v>0.95610000000000006</v>
      </c>
      <c r="F47" s="16">
        <f t="shared" si="6"/>
        <v>0.96950000000000003</v>
      </c>
      <c r="G47" s="16">
        <f t="shared" si="6"/>
        <v>0.9598000000000001</v>
      </c>
      <c r="H47" s="16">
        <f t="shared" si="6"/>
        <v>0.96004285714285698</v>
      </c>
      <c r="I47" s="16">
        <f t="shared" si="6"/>
        <v>0.95834285714285716</v>
      </c>
      <c r="J47" s="16">
        <f t="shared" si="6"/>
        <v>0.96742857142857142</v>
      </c>
      <c r="K47" s="16">
        <f t="shared" si="6"/>
        <v>0.96322857142857132</v>
      </c>
      <c r="L47" s="16">
        <f t="shared" si="6"/>
        <v>0.96640000000000004</v>
      </c>
      <c r="M47" s="16">
        <f t="shared" si="6"/>
        <v>0.97565714285714289</v>
      </c>
      <c r="N47" s="16">
        <f t="shared" si="6"/>
        <v>0.97315714285714294</v>
      </c>
      <c r="O47" s="16">
        <f t="shared" si="6"/>
        <v>0.9717285714285715</v>
      </c>
      <c r="P47" s="16">
        <f t="shared" si="6"/>
        <v>0.96729999999999994</v>
      </c>
      <c r="Q47" s="16">
        <f t="shared" si="6"/>
        <v>0.95128571428571429</v>
      </c>
      <c r="R47" s="16">
        <f t="shared" si="6"/>
        <v>0.95069999999999999</v>
      </c>
      <c r="S47" s="16">
        <f t="shared" si="6"/>
        <v>0.95761428571428575</v>
      </c>
      <c r="T47" s="16">
        <f t="shared" si="6"/>
        <v>0.95890000000000009</v>
      </c>
      <c r="U47" s="16">
        <f t="shared" si="6"/>
        <v>0.95705714285714283</v>
      </c>
      <c r="V47" s="16">
        <f t="shared" si="6"/>
        <v>0.96817142857142868</v>
      </c>
      <c r="W47" s="16">
        <f t="shared" si="6"/>
        <v>0.9615999999999999</v>
      </c>
      <c r="X47" s="16">
        <f t="shared" si="6"/>
        <v>0.96551428571428566</v>
      </c>
      <c r="Y47" s="16">
        <f t="shared" si="6"/>
        <v>0.9749000000000001</v>
      </c>
      <c r="Z47" s="16">
        <f t="shared" si="6"/>
        <v>0.97141428571428567</v>
      </c>
      <c r="AA47" s="16">
        <f t="shared" si="6"/>
        <v>0.97344285714285694</v>
      </c>
      <c r="AB47" s="16">
        <f t="shared" si="6"/>
        <v>0.9665285714285714</v>
      </c>
      <c r="AC47" s="16">
        <f t="shared" si="6"/>
        <v>0.95032857142857152</v>
      </c>
      <c r="AD47" s="16">
        <f t="shared" si="6"/>
        <v>0.94707142857142845</v>
      </c>
      <c r="AE47" s="16">
        <f t="shared" si="6"/>
        <v>0.9571428571428573</v>
      </c>
      <c r="AF47" s="16">
        <f t="shared" si="6"/>
        <v>0.95949999999999991</v>
      </c>
      <c r="AG47" s="16">
        <f t="shared" si="6"/>
        <v>0.95701428571428582</v>
      </c>
      <c r="AH47" s="16">
        <f t="shared" si="6"/>
        <v>0.96925714285714282</v>
      </c>
      <c r="AI47" s="16">
        <f t="shared" si="6"/>
        <v>0.96081428571428573</v>
      </c>
      <c r="AJ47" s="16">
        <f t="shared" si="6"/>
        <v>0.96454285714285715</v>
      </c>
      <c r="AK47" s="16">
        <f t="shared" si="6"/>
        <v>0.97408571428571433</v>
      </c>
      <c r="AL47" s="16">
        <f t="shared" si="6"/>
        <v>0.97044285714285716</v>
      </c>
      <c r="AM47" s="16">
        <f t="shared" si="6"/>
        <v>0.97350000000000014</v>
      </c>
      <c r="AN47" s="16">
        <f t="shared" si="6"/>
        <v>0.96568571428571437</v>
      </c>
      <c r="AO47" s="16">
        <f t="shared" si="6"/>
        <v>0.94872857142857137</v>
      </c>
      <c r="AP47" s="16">
        <f t="shared" si="6"/>
        <v>0.94485714285714273</v>
      </c>
      <c r="AQ47" s="16">
        <f t="shared" si="6"/>
        <v>0.95638571428571428</v>
      </c>
      <c r="AR47" s="16">
        <f t="shared" si="6"/>
        <v>0.95899999999999985</v>
      </c>
      <c r="AS47" s="16">
        <f t="shared" si="6"/>
        <v>0.95637142857142865</v>
      </c>
      <c r="AT47" s="16">
        <f t="shared" si="6"/>
        <v>0.96950000000000003</v>
      </c>
      <c r="AU47" s="16">
        <f t="shared" si="6"/>
        <v>0.96008571428571432</v>
      </c>
      <c r="AV47" s="16">
        <f t="shared" si="6"/>
        <v>0.96312857142857133</v>
      </c>
      <c r="AW47" s="16">
        <f t="shared" si="6"/>
        <v>0.97302857142857135</v>
      </c>
      <c r="AX47" s="16">
        <f t="shared" si="6"/>
        <v>0.96912857142857134</v>
      </c>
      <c r="AY47" s="16">
        <f t="shared" si="6"/>
        <v>0.96729999999999994</v>
      </c>
      <c r="AZ47" s="16">
        <f t="shared" si="6"/>
        <v>0.9676285714285715</v>
      </c>
      <c r="BA47" s="16">
        <f t="shared" si="6"/>
        <v>0.94720000000000015</v>
      </c>
      <c r="BB47" s="16">
        <f t="shared" si="6"/>
        <v>0.94321428571428567</v>
      </c>
      <c r="BC47" s="16">
        <f t="shared" si="6"/>
        <v>0.95562857142857138</v>
      </c>
      <c r="BD47" s="16">
        <f t="shared" si="6"/>
        <v>0.95855714285714277</v>
      </c>
      <c r="BE47" s="16">
        <f t="shared" si="6"/>
        <v>0.95577142857142849</v>
      </c>
      <c r="BF47" s="16">
        <f t="shared" si="6"/>
        <v>0.96950000000000003</v>
      </c>
      <c r="BG47" s="16">
        <f t="shared" si="6"/>
        <v>0.95939999999999992</v>
      </c>
      <c r="BH47" s="16">
        <f t="shared" si="6"/>
        <v>0.96191428571428583</v>
      </c>
      <c r="BI47" s="16">
        <f t="shared" si="6"/>
        <v>0.97205714285714273</v>
      </c>
      <c r="BJ47" s="16">
        <f t="shared" si="6"/>
        <v>0.96761428571428587</v>
      </c>
      <c r="BK47" s="16">
        <f t="shared" si="6"/>
        <v>0.97320000000000007</v>
      </c>
      <c r="BL47" s="16">
        <f t="shared" si="6"/>
        <v>0.96419999999999995</v>
      </c>
      <c r="BM47" s="16">
        <f t="shared" si="6"/>
        <v>0.94578571428571423</v>
      </c>
      <c r="BN47" s="16">
        <f t="shared" ref="BN47:DY47" si="7">AVERAGE(BN41,BN35,BN29,BN23,BN17,BN11,BN5)</f>
        <v>0.94162857142857148</v>
      </c>
      <c r="BO47" s="16">
        <f t="shared" si="7"/>
        <v>0.9546</v>
      </c>
      <c r="BP47" s="16">
        <f t="shared" si="7"/>
        <v>0.95795714285714273</v>
      </c>
      <c r="BQ47" s="16">
        <f t="shared" si="7"/>
        <v>0.95504285714285708</v>
      </c>
      <c r="BR47" s="16">
        <f t="shared" si="7"/>
        <v>0.96925714285714293</v>
      </c>
      <c r="BS47" s="16">
        <f t="shared" si="7"/>
        <v>0.95849999999999991</v>
      </c>
      <c r="BT47" s="16">
        <f t="shared" si="7"/>
        <v>0.96010000000000006</v>
      </c>
      <c r="BU47" s="16">
        <f t="shared" si="7"/>
        <v>0.97098571428571423</v>
      </c>
      <c r="BV47" s="16">
        <f t="shared" si="7"/>
        <v>0.9668714285714286</v>
      </c>
      <c r="BW47" s="16">
        <f t="shared" si="7"/>
        <v>0.97340000000000004</v>
      </c>
      <c r="BX47" s="16">
        <f t="shared" si="7"/>
        <v>0.96365714285714277</v>
      </c>
      <c r="BY47" s="16">
        <f t="shared" si="7"/>
        <v>0.94458571428571436</v>
      </c>
      <c r="BZ47" s="16">
        <f t="shared" si="7"/>
        <v>0.94020000000000004</v>
      </c>
      <c r="CA47" s="16">
        <f t="shared" si="7"/>
        <v>0.95344285714285726</v>
      </c>
      <c r="CB47" s="16">
        <f t="shared" si="7"/>
        <v>0.95731428571428567</v>
      </c>
      <c r="CC47" s="16">
        <f t="shared" si="7"/>
        <v>0.95428571428571429</v>
      </c>
      <c r="CD47" s="16">
        <f t="shared" si="7"/>
        <v>0.96919999999999995</v>
      </c>
      <c r="CE47" s="16">
        <f t="shared" si="7"/>
        <v>0.95781428571428573</v>
      </c>
      <c r="CF47" s="16">
        <f t="shared" si="7"/>
        <v>0.95874285714285712</v>
      </c>
      <c r="CG47" s="16">
        <f t="shared" si="7"/>
        <v>0.9703142857142858</v>
      </c>
      <c r="CH47" s="16">
        <f t="shared" si="7"/>
        <v>0.96601428571428571</v>
      </c>
      <c r="CI47" s="16">
        <f t="shared" si="7"/>
        <v>0.97337142857142855</v>
      </c>
      <c r="CJ47" s="16">
        <f t="shared" si="7"/>
        <v>0.96307142857142847</v>
      </c>
      <c r="CK47" s="16">
        <f t="shared" si="7"/>
        <v>0.94345714285714277</v>
      </c>
      <c r="CL47" s="16">
        <f t="shared" si="7"/>
        <v>0.9389142857142857</v>
      </c>
      <c r="CM47" s="16">
        <f t="shared" si="7"/>
        <v>0.95231428571428567</v>
      </c>
      <c r="CN47" s="16">
        <f t="shared" si="7"/>
        <v>0.95622857142857143</v>
      </c>
      <c r="CO47" s="16">
        <f t="shared" si="7"/>
        <v>0.95345714285714289</v>
      </c>
      <c r="CP47" s="16">
        <f t="shared" si="7"/>
        <v>0.96880000000000011</v>
      </c>
      <c r="CQ47" s="16">
        <f t="shared" si="7"/>
        <v>0.95737142857142854</v>
      </c>
      <c r="CR47" s="16">
        <f t="shared" si="7"/>
        <v>0.95778571428571435</v>
      </c>
      <c r="CS47" s="16">
        <f t="shared" si="7"/>
        <v>0.96958571428571438</v>
      </c>
      <c r="CT47" s="16">
        <f t="shared" si="7"/>
        <v>0.96531428571428557</v>
      </c>
      <c r="CU47" s="16">
        <f t="shared" si="7"/>
        <v>0.96465714285714288</v>
      </c>
      <c r="CV47" s="16">
        <f t="shared" si="7"/>
        <v>0.9656285714285715</v>
      </c>
      <c r="CW47" s="16">
        <f t="shared" si="7"/>
        <v>0.9425</v>
      </c>
      <c r="CX47" s="16">
        <f t="shared" si="7"/>
        <v>0.9381571428571428</v>
      </c>
      <c r="CY47" s="16">
        <f t="shared" si="7"/>
        <v>0.95087142857142837</v>
      </c>
      <c r="CZ47" s="16">
        <f t="shared" si="7"/>
        <v>0.95491428571428572</v>
      </c>
      <c r="DA47" s="16">
        <f t="shared" si="7"/>
        <v>0.9523571428571429</v>
      </c>
      <c r="DB47" s="16">
        <f t="shared" si="7"/>
        <v>0.96817142857142857</v>
      </c>
      <c r="DC47" s="16">
        <f t="shared" si="7"/>
        <v>0.95668571428571436</v>
      </c>
      <c r="DD47" s="16">
        <f t="shared" si="7"/>
        <v>0.9569428571428571</v>
      </c>
      <c r="DE47" s="16">
        <f t="shared" si="7"/>
        <v>0.96919999999999995</v>
      </c>
      <c r="DF47" s="16">
        <f t="shared" si="7"/>
        <v>0.96522857142857155</v>
      </c>
      <c r="DG47" s="16">
        <f t="shared" si="7"/>
        <v>0.97221428571428581</v>
      </c>
      <c r="DH47" s="16">
        <f t="shared" si="7"/>
        <v>0.96262857142857139</v>
      </c>
      <c r="DI47" s="16">
        <f t="shared" si="7"/>
        <v>0.9421571428571428</v>
      </c>
      <c r="DJ47" s="16">
        <f t="shared" si="7"/>
        <v>0.93759999999999988</v>
      </c>
      <c r="DK47" s="16">
        <f t="shared" si="7"/>
        <v>0.94968571428571436</v>
      </c>
      <c r="DL47" s="16">
        <f t="shared" si="7"/>
        <v>0.95348571428571438</v>
      </c>
      <c r="DM47" s="16">
        <f t="shared" si="7"/>
        <v>0.95137142857142865</v>
      </c>
      <c r="DN47" s="16">
        <f t="shared" si="7"/>
        <v>0.96732857142857143</v>
      </c>
      <c r="DO47" s="16">
        <f t="shared" si="7"/>
        <v>0.95607142857142857</v>
      </c>
      <c r="DP47" s="16">
        <f t="shared" si="7"/>
        <v>0.95612857142857144</v>
      </c>
      <c r="DQ47" s="16">
        <f t="shared" si="7"/>
        <v>0.96888571428571424</v>
      </c>
      <c r="DR47" s="16">
        <f t="shared" si="7"/>
        <v>0.9649428571428571</v>
      </c>
      <c r="DS47" s="16">
        <f t="shared" si="7"/>
        <v>0.97175714285714299</v>
      </c>
      <c r="DT47" s="16">
        <f t="shared" si="7"/>
        <v>0.96254285714285726</v>
      </c>
      <c r="DU47" s="16">
        <f t="shared" si="7"/>
        <v>0.94158571428571436</v>
      </c>
      <c r="DV47" s="16">
        <f t="shared" si="7"/>
        <v>0.93704285714285707</v>
      </c>
      <c r="DW47" s="16">
        <f t="shared" si="7"/>
        <v>0.94852857142857139</v>
      </c>
      <c r="DX47" s="16">
        <f t="shared" si="7"/>
        <v>0.95178571428571423</v>
      </c>
      <c r="DY47" s="16">
        <f t="shared" si="7"/>
        <v>0.95015714285714281</v>
      </c>
      <c r="DZ47" s="16">
        <f t="shared" ref="DZ47:FY47" si="8">AVERAGE(DZ41,DZ35,DZ29,DZ23,DZ17,DZ11,DZ5)</f>
        <v>0.96645714285714279</v>
      </c>
      <c r="EA47" s="16">
        <f t="shared" si="8"/>
        <v>0.95544285714285704</v>
      </c>
      <c r="EB47" s="16">
        <f t="shared" si="8"/>
        <v>0.95551428571428565</v>
      </c>
      <c r="EC47" s="16">
        <f t="shared" si="8"/>
        <v>0.96854285714285726</v>
      </c>
      <c r="ED47" s="16">
        <f t="shared" si="8"/>
        <v>0.96472857142857138</v>
      </c>
      <c r="EE47" s="16">
        <f t="shared" si="8"/>
        <v>0.97118571428571421</v>
      </c>
      <c r="EF47" s="16">
        <f t="shared" si="8"/>
        <v>0.96237142857142843</v>
      </c>
      <c r="EG47" s="16">
        <f t="shared" si="8"/>
        <v>0.94102857142857144</v>
      </c>
      <c r="EH47" s="16">
        <f t="shared" si="8"/>
        <v>0.93658571428571435</v>
      </c>
      <c r="EI47" s="16">
        <f t="shared" si="8"/>
        <v>0.94739999999999991</v>
      </c>
      <c r="EJ47" s="16">
        <f t="shared" si="8"/>
        <v>0.95014285714285696</v>
      </c>
      <c r="EK47" s="16">
        <f t="shared" si="8"/>
        <v>0.9490142857142857</v>
      </c>
      <c r="EL47" s="16">
        <f t="shared" si="8"/>
        <v>0.96550000000000025</v>
      </c>
      <c r="EM47" s="16">
        <f t="shared" si="8"/>
        <v>0.9548714285714287</v>
      </c>
      <c r="EN47" s="16">
        <f t="shared" si="8"/>
        <v>0.95502857142857145</v>
      </c>
      <c r="EO47" s="16">
        <f t="shared" si="8"/>
        <v>0.96832857142857143</v>
      </c>
      <c r="EP47" s="16">
        <f t="shared" si="8"/>
        <v>0.96454285714285704</v>
      </c>
      <c r="EQ47" s="16">
        <f t="shared" si="8"/>
        <v>0.96125714285714281</v>
      </c>
      <c r="ER47" s="16">
        <f t="shared" si="8"/>
        <v>0.96542857142857141</v>
      </c>
      <c r="ES47" s="16">
        <f t="shared" si="8"/>
        <v>0.94051428571428575</v>
      </c>
      <c r="ET47" s="16">
        <f t="shared" si="8"/>
        <v>0.93621428571428578</v>
      </c>
      <c r="EU47" s="16">
        <f t="shared" si="8"/>
        <v>1.0074714285714286</v>
      </c>
      <c r="EV47" s="16">
        <f t="shared" si="8"/>
        <v>0.94830000000000003</v>
      </c>
      <c r="EW47" s="16">
        <f t="shared" si="8"/>
        <v>0.94782857142857146</v>
      </c>
      <c r="EX47" s="16">
        <f t="shared" si="8"/>
        <v>0.96445714285714279</v>
      </c>
      <c r="EY47" s="16">
        <f t="shared" si="8"/>
        <v>0.95422857142857154</v>
      </c>
      <c r="EZ47" s="16">
        <f t="shared" si="8"/>
        <v>0.95478571428571435</v>
      </c>
      <c r="FA47" s="16">
        <f t="shared" si="8"/>
        <v>0.96827142857142845</v>
      </c>
      <c r="FB47" s="16">
        <f t="shared" si="8"/>
        <v>0.96460000000000001</v>
      </c>
      <c r="FC47" s="16">
        <f t="shared" si="8"/>
        <v>0.97005714285714295</v>
      </c>
      <c r="FD47" s="16">
        <f t="shared" si="8"/>
        <v>0.96230000000000004</v>
      </c>
      <c r="FE47" s="16">
        <f t="shared" si="8"/>
        <v>0.9403285714285714</v>
      </c>
      <c r="FF47" s="16">
        <f t="shared" si="8"/>
        <v>0.93592857142857144</v>
      </c>
      <c r="FG47" s="16">
        <f t="shared" si="8"/>
        <v>0.94540000000000002</v>
      </c>
      <c r="FH47" s="16">
        <f t="shared" si="8"/>
        <v>0.94662857142857137</v>
      </c>
      <c r="FI47" s="16">
        <f t="shared" si="8"/>
        <v>0.94639999999999991</v>
      </c>
      <c r="FJ47" s="16">
        <f t="shared" si="8"/>
        <v>0.96299999999999997</v>
      </c>
      <c r="FK47" s="16">
        <f t="shared" si="8"/>
        <v>0.95355714285714288</v>
      </c>
      <c r="FL47" s="16">
        <f t="shared" si="8"/>
        <v>0.95434285714285727</v>
      </c>
      <c r="FM47" s="16">
        <f t="shared" si="8"/>
        <v>0.96822857142857133</v>
      </c>
      <c r="FN47" s="16">
        <f t="shared" si="8"/>
        <v>0.96447142857142865</v>
      </c>
      <c r="FO47" s="16">
        <f t="shared" si="8"/>
        <v>0.96954285714285715</v>
      </c>
      <c r="FP47" s="16">
        <f t="shared" si="8"/>
        <v>0.96218571428571431</v>
      </c>
      <c r="FQ47" s="16">
        <f t="shared" si="8"/>
        <v>0.94002857142857132</v>
      </c>
      <c r="FR47" s="16">
        <f t="shared" si="8"/>
        <v>0.93567142857142849</v>
      </c>
      <c r="FS47" s="16">
        <f t="shared" si="8"/>
        <v>0.94460000000000011</v>
      </c>
      <c r="FT47" s="16">
        <f t="shared" si="8"/>
        <v>0.94501428571428558</v>
      </c>
      <c r="FU47" s="16">
        <f t="shared" si="8"/>
        <v>0.94510000000000005</v>
      </c>
      <c r="FV47" s="16">
        <f t="shared" si="8"/>
        <v>0.96150000000000013</v>
      </c>
      <c r="FW47" s="16">
        <f t="shared" si="8"/>
        <v>0.95300000000000007</v>
      </c>
      <c r="FX47" s="16">
        <f t="shared" si="8"/>
        <v>0.95397142857142847</v>
      </c>
      <c r="FY47" s="16">
        <f t="shared" si="8"/>
        <v>0.96814285714285719</v>
      </c>
    </row>
    <row r="48" spans="1:181" x14ac:dyDescent="0.3">
      <c r="A48" s="2">
        <v>4</v>
      </c>
      <c r="B48" s="16">
        <f t="shared" ref="B48:BM48" si="9">AVERAGE(B42,B36,B30,B24,B18,B12,B6)</f>
        <v>0.79238571428571425</v>
      </c>
      <c r="C48" s="16">
        <f t="shared" si="9"/>
        <v>0.81738571428571427</v>
      </c>
      <c r="D48" s="16">
        <f t="shared" si="9"/>
        <v>0.81455714285714287</v>
      </c>
      <c r="E48" s="16">
        <f t="shared" si="9"/>
        <v>0.80061428571428572</v>
      </c>
      <c r="F48" s="16">
        <f t="shared" si="9"/>
        <v>0.81702857142857133</v>
      </c>
      <c r="G48" s="16">
        <f t="shared" si="9"/>
        <v>0.82702857142857145</v>
      </c>
      <c r="H48" s="16">
        <f t="shared" si="9"/>
        <v>0.83178571428571424</v>
      </c>
      <c r="I48" s="16">
        <f t="shared" si="9"/>
        <v>0.81592857142857145</v>
      </c>
      <c r="J48" s="16">
        <f t="shared" si="9"/>
        <v>0.83239999999999992</v>
      </c>
      <c r="K48" s="16">
        <f t="shared" si="9"/>
        <v>0.8509714285714286</v>
      </c>
      <c r="L48" s="16">
        <f t="shared" si="9"/>
        <v>0.82431428571428567</v>
      </c>
      <c r="M48" s="16">
        <f t="shared" si="9"/>
        <v>0.8296285714285716</v>
      </c>
      <c r="N48" s="16">
        <f t="shared" si="9"/>
        <v>0.78572857142857144</v>
      </c>
      <c r="O48" s="16">
        <f t="shared" si="9"/>
        <v>0.84484285714285712</v>
      </c>
      <c r="P48" s="16">
        <f t="shared" si="9"/>
        <v>0.80432857142857139</v>
      </c>
      <c r="Q48" s="16">
        <f t="shared" si="9"/>
        <v>0.79105714285714279</v>
      </c>
      <c r="R48" s="16">
        <f t="shared" si="9"/>
        <v>0.79844285714285712</v>
      </c>
      <c r="S48" s="16">
        <f t="shared" si="9"/>
        <v>0.82818571428571419</v>
      </c>
      <c r="T48" s="16">
        <f t="shared" si="9"/>
        <v>0.83952857142857151</v>
      </c>
      <c r="U48" s="16">
        <f t="shared" si="9"/>
        <v>0.8198714285714287</v>
      </c>
      <c r="V48" s="16">
        <f t="shared" si="9"/>
        <v>0.83641428571428567</v>
      </c>
      <c r="W48" s="16">
        <f t="shared" si="9"/>
        <v>0.84964285714285714</v>
      </c>
      <c r="X48" s="16">
        <f t="shared" si="9"/>
        <v>0.82274285714285711</v>
      </c>
      <c r="Y48" s="16">
        <f t="shared" si="9"/>
        <v>0.82734285714285716</v>
      </c>
      <c r="Z48" s="16">
        <f t="shared" si="9"/>
        <v>0.78127142857142851</v>
      </c>
      <c r="AA48" s="16">
        <f t="shared" si="9"/>
        <v>0.85157142857142865</v>
      </c>
      <c r="AB48" s="16">
        <f t="shared" si="9"/>
        <v>0.80484285714285719</v>
      </c>
      <c r="AC48" s="16">
        <f t="shared" si="9"/>
        <v>0.79144285714285723</v>
      </c>
      <c r="AD48" s="16">
        <f t="shared" si="9"/>
        <v>0.79404285714285716</v>
      </c>
      <c r="AE48" s="16">
        <f t="shared" si="9"/>
        <v>0.83002857142857145</v>
      </c>
      <c r="AF48" s="16">
        <f t="shared" si="9"/>
        <v>0.84525714285714282</v>
      </c>
      <c r="AG48" s="16">
        <f t="shared" si="9"/>
        <v>0.82402857142857144</v>
      </c>
      <c r="AH48" s="16">
        <f t="shared" si="9"/>
        <v>0.8409428571428571</v>
      </c>
      <c r="AI48" s="16">
        <f t="shared" si="9"/>
        <v>0.85031428571428569</v>
      </c>
      <c r="AJ48" s="16">
        <f t="shared" si="9"/>
        <v>0.82157142857142851</v>
      </c>
      <c r="AK48" s="16">
        <f t="shared" si="9"/>
        <v>0.82550000000000001</v>
      </c>
      <c r="AL48" s="16">
        <f t="shared" si="9"/>
        <v>0.77714285714285702</v>
      </c>
      <c r="AM48" s="16">
        <f t="shared" si="9"/>
        <v>0.84854285714285727</v>
      </c>
      <c r="AN48" s="16">
        <f t="shared" si="9"/>
        <v>0.80067142857142859</v>
      </c>
      <c r="AO48" s="16">
        <f t="shared" si="9"/>
        <v>0.78591428571428545</v>
      </c>
      <c r="AP48" s="16">
        <f t="shared" si="9"/>
        <v>0.78848571428571435</v>
      </c>
      <c r="AQ48" s="16">
        <f t="shared" si="9"/>
        <v>0.82682857142857136</v>
      </c>
      <c r="AR48" s="16">
        <f t="shared" si="9"/>
        <v>0.84321428571428569</v>
      </c>
      <c r="AS48" s="16">
        <f t="shared" si="9"/>
        <v>0.82181428571428583</v>
      </c>
      <c r="AT48" s="16">
        <f t="shared" si="9"/>
        <v>0.84095714285714285</v>
      </c>
      <c r="AU48" s="16">
        <f t="shared" si="9"/>
        <v>0.84902857142857158</v>
      </c>
      <c r="AV48" s="16">
        <f t="shared" si="9"/>
        <v>0.81821428571428567</v>
      </c>
      <c r="AW48" s="16">
        <f t="shared" si="9"/>
        <v>0.82168571428571435</v>
      </c>
      <c r="AX48" s="16">
        <f t="shared" si="9"/>
        <v>0.77299999999999991</v>
      </c>
      <c r="AY48" s="16">
        <f t="shared" si="9"/>
        <v>0.8348714285714286</v>
      </c>
      <c r="AZ48" s="16">
        <f t="shared" si="9"/>
        <v>0.80305714285714291</v>
      </c>
      <c r="BA48" s="16">
        <f t="shared" si="9"/>
        <v>0.77969999999999995</v>
      </c>
      <c r="BB48" s="16">
        <f t="shared" si="9"/>
        <v>0.78381428571428569</v>
      </c>
      <c r="BC48" s="16">
        <f t="shared" si="9"/>
        <v>0.82394285714285709</v>
      </c>
      <c r="BD48" s="16">
        <f t="shared" si="9"/>
        <v>0.84117142857142857</v>
      </c>
      <c r="BE48" s="16">
        <f t="shared" si="9"/>
        <v>0.81904285714285729</v>
      </c>
      <c r="BF48" s="16">
        <f t="shared" si="9"/>
        <v>0.84037142857142855</v>
      </c>
      <c r="BG48" s="16">
        <f t="shared" si="9"/>
        <v>0.84804285714285732</v>
      </c>
      <c r="BH48" s="16">
        <f t="shared" si="9"/>
        <v>0.81577142857142848</v>
      </c>
      <c r="BI48" s="16">
        <f t="shared" si="9"/>
        <v>0.81850000000000012</v>
      </c>
      <c r="BJ48" s="16">
        <f t="shared" si="9"/>
        <v>0.76814285714285713</v>
      </c>
      <c r="BK48" s="16">
        <f t="shared" si="9"/>
        <v>0.84065714285714288</v>
      </c>
      <c r="BL48" s="16">
        <f t="shared" si="9"/>
        <v>0.79182857142857144</v>
      </c>
      <c r="BM48" s="16">
        <f t="shared" si="9"/>
        <v>0.77397142857142853</v>
      </c>
      <c r="BN48" s="16">
        <f t="shared" ref="BN48:DY48" si="10">AVERAGE(BN42,BN36,BN30,BN24,BN18,BN12,BN6)</f>
        <v>0.77944285714285699</v>
      </c>
      <c r="BO48" s="16">
        <f t="shared" si="10"/>
        <v>0.81954285714285713</v>
      </c>
      <c r="BP48" s="16">
        <f t="shared" si="10"/>
        <v>0.83881428571428585</v>
      </c>
      <c r="BQ48" s="16">
        <f t="shared" si="10"/>
        <v>0.81592857142857134</v>
      </c>
      <c r="BR48" s="16">
        <f t="shared" si="10"/>
        <v>0.83917142857142857</v>
      </c>
      <c r="BS48" s="16">
        <f t="shared" si="10"/>
        <v>0.8459000000000001</v>
      </c>
      <c r="BT48" s="16">
        <f t="shared" si="10"/>
        <v>0.81102857142857143</v>
      </c>
      <c r="BU48" s="16">
        <f t="shared" si="10"/>
        <v>0.81424285714285716</v>
      </c>
      <c r="BV48" s="16">
        <f t="shared" si="10"/>
        <v>0.76534285714285721</v>
      </c>
      <c r="BW48" s="16">
        <f t="shared" si="10"/>
        <v>0.83827142857142856</v>
      </c>
      <c r="BX48" s="16">
        <f t="shared" si="10"/>
        <v>0.78860000000000008</v>
      </c>
      <c r="BY48" s="16">
        <f t="shared" si="10"/>
        <v>0.76857142857142857</v>
      </c>
      <c r="BZ48" s="16">
        <f t="shared" si="10"/>
        <v>0.77549999999999997</v>
      </c>
      <c r="CA48" s="16">
        <f t="shared" si="10"/>
        <v>0.81552857142857138</v>
      </c>
      <c r="CB48" s="16">
        <f t="shared" si="10"/>
        <v>0.83661428571428575</v>
      </c>
      <c r="CC48" s="16">
        <f t="shared" si="10"/>
        <v>0.81328571428571428</v>
      </c>
      <c r="CD48" s="16">
        <f t="shared" si="10"/>
        <v>0.83892857142857147</v>
      </c>
      <c r="CE48" s="16">
        <f t="shared" si="10"/>
        <v>0.84472857142857161</v>
      </c>
      <c r="CF48" s="16">
        <f t="shared" si="10"/>
        <v>0.80795714285714282</v>
      </c>
      <c r="CG48" s="16">
        <f t="shared" si="10"/>
        <v>0.81135714285714289</v>
      </c>
      <c r="CH48" s="16">
        <f t="shared" si="10"/>
        <v>0.76194285714285714</v>
      </c>
      <c r="CI48" s="16">
        <f t="shared" si="10"/>
        <v>0.8352857142857143</v>
      </c>
      <c r="CJ48" s="16">
        <f t="shared" si="10"/>
        <v>0.78508571428571439</v>
      </c>
      <c r="CK48" s="16">
        <f t="shared" si="10"/>
        <v>0.7639285714285714</v>
      </c>
      <c r="CL48" s="16">
        <f t="shared" si="10"/>
        <v>0.77179999999999993</v>
      </c>
      <c r="CM48" s="16">
        <f t="shared" si="10"/>
        <v>0.81105714285714281</v>
      </c>
      <c r="CN48" s="16">
        <f t="shared" si="10"/>
        <v>0.83295714285714306</v>
      </c>
      <c r="CO48" s="16">
        <f t="shared" si="10"/>
        <v>0.80965714285714274</v>
      </c>
      <c r="CP48" s="16">
        <f t="shared" si="10"/>
        <v>0.83814285714285719</v>
      </c>
      <c r="CQ48" s="16">
        <f t="shared" si="10"/>
        <v>0.84370000000000012</v>
      </c>
      <c r="CR48" s="16">
        <f t="shared" si="10"/>
        <v>0.80535714285714288</v>
      </c>
      <c r="CS48" s="16">
        <f t="shared" si="10"/>
        <v>0.80871428571428583</v>
      </c>
      <c r="CT48" s="16">
        <f t="shared" si="10"/>
        <v>0.7591714285714285</v>
      </c>
      <c r="CU48" s="16">
        <f t="shared" si="10"/>
        <v>0.82011428571428557</v>
      </c>
      <c r="CV48" s="16">
        <f t="shared" si="10"/>
        <v>0.78889999999999993</v>
      </c>
      <c r="CW48" s="16">
        <f t="shared" si="10"/>
        <v>0.75945714285714294</v>
      </c>
      <c r="CX48" s="16">
        <f t="shared" si="10"/>
        <v>0.76921428571428574</v>
      </c>
      <c r="CY48" s="16">
        <f t="shared" si="10"/>
        <v>0.80582857142857145</v>
      </c>
      <c r="CZ48" s="16">
        <f t="shared" si="10"/>
        <v>0.8285285714285715</v>
      </c>
      <c r="DA48" s="16">
        <f t="shared" si="10"/>
        <v>0.80451428571428585</v>
      </c>
      <c r="DB48" s="16">
        <f t="shared" si="10"/>
        <v>0.83732857142857142</v>
      </c>
      <c r="DC48" s="16">
        <f t="shared" si="10"/>
        <v>0.84248571428571428</v>
      </c>
      <c r="DD48" s="16">
        <f t="shared" si="10"/>
        <v>0.8031571428571429</v>
      </c>
      <c r="DE48" s="16">
        <f t="shared" si="10"/>
        <v>0.80645714285714298</v>
      </c>
      <c r="DF48" s="16">
        <f t="shared" si="10"/>
        <v>0.75872857142857142</v>
      </c>
      <c r="DG48" s="16">
        <f t="shared" si="10"/>
        <v>0.83000000000000007</v>
      </c>
      <c r="DH48" s="16">
        <f t="shared" si="10"/>
        <v>0.78077142857142867</v>
      </c>
      <c r="DI48" s="16">
        <f t="shared" si="10"/>
        <v>0.75682857142857141</v>
      </c>
      <c r="DJ48" s="16">
        <f t="shared" si="10"/>
        <v>0.76714285714285713</v>
      </c>
      <c r="DK48" s="16">
        <f t="shared" si="10"/>
        <v>0.80097142857142856</v>
      </c>
      <c r="DL48" s="16">
        <f t="shared" si="10"/>
        <v>0.82340000000000002</v>
      </c>
      <c r="DM48" s="16">
        <f t="shared" si="10"/>
        <v>0.79972857142857134</v>
      </c>
      <c r="DN48" s="16">
        <f t="shared" si="10"/>
        <v>0.83599999999999997</v>
      </c>
      <c r="DO48" s="16">
        <f t="shared" si="10"/>
        <v>0.8407714285714285</v>
      </c>
      <c r="DP48" s="16">
        <f t="shared" si="10"/>
        <v>0.80011428571428578</v>
      </c>
      <c r="DQ48" s="16">
        <f t="shared" si="10"/>
        <v>0.80428571428571427</v>
      </c>
      <c r="DR48" s="16">
        <f t="shared" si="10"/>
        <v>0.75695714285714288</v>
      </c>
      <c r="DS48" s="16">
        <f t="shared" si="10"/>
        <v>0.82747142857142852</v>
      </c>
      <c r="DT48" s="16">
        <f t="shared" si="10"/>
        <v>0.77867142857142846</v>
      </c>
      <c r="DU48" s="16">
        <f t="shared" si="10"/>
        <v>0.75330000000000008</v>
      </c>
      <c r="DV48" s="16">
        <f t="shared" si="10"/>
        <v>0.7649285714285714</v>
      </c>
      <c r="DW48" s="16">
        <f t="shared" si="10"/>
        <v>0.79572857142857145</v>
      </c>
      <c r="DX48" s="16">
        <f t="shared" si="10"/>
        <v>0.8158428571428572</v>
      </c>
      <c r="DY48" s="16">
        <f t="shared" si="10"/>
        <v>0.79419999999999991</v>
      </c>
      <c r="DZ48" s="16">
        <f t="shared" ref="DZ48:FY48" si="11">AVERAGE(DZ42,DZ36,DZ30,DZ24,DZ18,DZ12,DZ6)</f>
        <v>0.8344571428571429</v>
      </c>
      <c r="EA48" s="16">
        <f t="shared" si="11"/>
        <v>0.83865714285714277</v>
      </c>
      <c r="EB48" s="16">
        <f t="shared" si="11"/>
        <v>0.79725714285714278</v>
      </c>
      <c r="EC48" s="16">
        <f t="shared" si="11"/>
        <v>0.80177142857142858</v>
      </c>
      <c r="ED48" s="16">
        <f t="shared" si="11"/>
        <v>0.75542857142857134</v>
      </c>
      <c r="EE48" s="16">
        <f t="shared" si="11"/>
        <v>0.8248428571428571</v>
      </c>
      <c r="EF48" s="16">
        <f t="shared" si="11"/>
        <v>0.77654285714285709</v>
      </c>
      <c r="EG48" s="16">
        <f t="shared" si="11"/>
        <v>0.75011428571428573</v>
      </c>
      <c r="EH48" s="16">
        <f t="shared" si="11"/>
        <v>0.76265714285714281</v>
      </c>
      <c r="EI48" s="16">
        <f t="shared" si="11"/>
        <v>0.79075714285714305</v>
      </c>
      <c r="EJ48" s="16">
        <f t="shared" si="11"/>
        <v>0.80865714285714285</v>
      </c>
      <c r="EK48" s="16">
        <f t="shared" si="11"/>
        <v>0.78901428571428578</v>
      </c>
      <c r="EL48" s="16">
        <f t="shared" si="11"/>
        <v>0.83248571428571427</v>
      </c>
      <c r="EM48" s="16">
        <f t="shared" si="11"/>
        <v>0.83625714285714281</v>
      </c>
      <c r="EN48" s="16">
        <f t="shared" si="11"/>
        <v>0.79470000000000007</v>
      </c>
      <c r="EO48" s="16">
        <f t="shared" si="11"/>
        <v>0.79964285714285732</v>
      </c>
      <c r="EP48" s="16">
        <f t="shared" si="11"/>
        <v>0.7535142857142858</v>
      </c>
      <c r="EQ48" s="16">
        <f t="shared" si="11"/>
        <v>0.8046714285714287</v>
      </c>
      <c r="ER48" s="16">
        <f t="shared" si="11"/>
        <v>0.78062857142857145</v>
      </c>
      <c r="ES48" s="16">
        <f t="shared" si="11"/>
        <v>0.74675714285714279</v>
      </c>
      <c r="ET48" s="16">
        <f t="shared" si="11"/>
        <v>0.7605857142857142</v>
      </c>
      <c r="EU48" s="16">
        <f t="shared" si="11"/>
        <v>0.85780000000000012</v>
      </c>
      <c r="EV48" s="16">
        <f t="shared" si="11"/>
        <v>0.79991428571428558</v>
      </c>
      <c r="EW48" s="16">
        <f t="shared" si="11"/>
        <v>0.78468571428571432</v>
      </c>
      <c r="EX48" s="16">
        <f t="shared" si="11"/>
        <v>0.83050000000000002</v>
      </c>
      <c r="EY48" s="16">
        <f t="shared" si="11"/>
        <v>0.83397142857142847</v>
      </c>
      <c r="EZ48" s="16">
        <f t="shared" si="11"/>
        <v>0.79267142857142858</v>
      </c>
      <c r="FA48" s="16">
        <f t="shared" si="11"/>
        <v>0.79749999999999999</v>
      </c>
      <c r="FB48" s="16">
        <f t="shared" si="11"/>
        <v>0.75257142857142856</v>
      </c>
      <c r="FC48" s="16">
        <f t="shared" si="11"/>
        <v>0.81915714285714281</v>
      </c>
      <c r="FD48" s="16">
        <f t="shared" si="11"/>
        <v>0.7725142857142856</v>
      </c>
      <c r="FE48" s="16">
        <f t="shared" si="11"/>
        <v>0.74434285714285708</v>
      </c>
      <c r="FF48" s="16">
        <f t="shared" si="11"/>
        <v>0.75851428571428581</v>
      </c>
      <c r="FG48" s="16">
        <f t="shared" si="11"/>
        <v>0.78084285714285706</v>
      </c>
      <c r="FH48" s="16">
        <f t="shared" si="11"/>
        <v>0.79139999999999999</v>
      </c>
      <c r="FI48" s="16">
        <f t="shared" si="11"/>
        <v>0.77921428571428553</v>
      </c>
      <c r="FJ48" s="16">
        <f t="shared" si="11"/>
        <v>0.82705714285714282</v>
      </c>
      <c r="FK48" s="16">
        <f t="shared" si="11"/>
        <v>0.83071428571428574</v>
      </c>
      <c r="FL48" s="16">
        <f t="shared" si="11"/>
        <v>0.78945714285714275</v>
      </c>
      <c r="FM48" s="16">
        <f t="shared" si="11"/>
        <v>0.79530000000000001</v>
      </c>
      <c r="FN48" s="16">
        <f t="shared" si="11"/>
        <v>0.74970000000000003</v>
      </c>
      <c r="FO48" s="16">
        <f t="shared" si="11"/>
        <v>0.81650000000000011</v>
      </c>
      <c r="FP48" s="16">
        <f t="shared" si="11"/>
        <v>0.76962857142857133</v>
      </c>
      <c r="FQ48" s="16">
        <f t="shared" si="11"/>
        <v>0.74161428571428567</v>
      </c>
      <c r="FR48" s="16">
        <f t="shared" si="11"/>
        <v>0.75659999999999994</v>
      </c>
      <c r="FS48" s="16">
        <f t="shared" si="11"/>
        <v>0.77660000000000007</v>
      </c>
      <c r="FT48" s="16">
        <f t="shared" si="11"/>
        <v>0.78368571428571432</v>
      </c>
      <c r="FU48" s="16">
        <f t="shared" si="11"/>
        <v>0.77518571428571448</v>
      </c>
      <c r="FV48" s="16">
        <f t="shared" si="11"/>
        <v>0.82351428571428564</v>
      </c>
      <c r="FW48" s="16">
        <f t="shared" si="11"/>
        <v>0.82758571428571426</v>
      </c>
      <c r="FX48" s="16">
        <f t="shared" si="11"/>
        <v>0.78648571428571423</v>
      </c>
      <c r="FY48" s="16">
        <f t="shared" si="11"/>
        <v>0.79359999999999986</v>
      </c>
    </row>
    <row r="50" spans="1:181" x14ac:dyDescent="0.3">
      <c r="A50" t="s">
        <v>54</v>
      </c>
      <c r="B50">
        <v>45292</v>
      </c>
      <c r="C50">
        <v>45323</v>
      </c>
      <c r="D50">
        <v>45352</v>
      </c>
      <c r="E50">
        <v>45383</v>
      </c>
      <c r="F50">
        <v>45413</v>
      </c>
      <c r="G50">
        <v>45444</v>
      </c>
      <c r="H50">
        <v>45474</v>
      </c>
      <c r="I50">
        <v>45505</v>
      </c>
      <c r="J50">
        <v>45536</v>
      </c>
      <c r="K50">
        <v>45566</v>
      </c>
      <c r="L50">
        <v>45597</v>
      </c>
      <c r="M50">
        <v>45627</v>
      </c>
      <c r="N50">
        <v>45658</v>
      </c>
      <c r="O50">
        <v>45689</v>
      </c>
      <c r="P50">
        <v>45717</v>
      </c>
      <c r="Q50">
        <v>45748</v>
      </c>
      <c r="R50">
        <v>45778</v>
      </c>
      <c r="S50">
        <v>45809</v>
      </c>
      <c r="T50">
        <v>45839</v>
      </c>
      <c r="U50">
        <v>45870</v>
      </c>
      <c r="V50">
        <v>45901</v>
      </c>
      <c r="W50">
        <v>45931</v>
      </c>
      <c r="X50">
        <v>45962</v>
      </c>
      <c r="Y50">
        <v>45992</v>
      </c>
      <c r="Z50">
        <v>46023</v>
      </c>
      <c r="AA50">
        <v>46054</v>
      </c>
      <c r="AB50">
        <v>46082</v>
      </c>
      <c r="AC50">
        <v>46113</v>
      </c>
      <c r="AD50">
        <v>46143</v>
      </c>
      <c r="AE50">
        <v>46174</v>
      </c>
      <c r="AF50">
        <v>46204</v>
      </c>
      <c r="AG50">
        <v>46235</v>
      </c>
      <c r="AH50">
        <v>46266</v>
      </c>
      <c r="AI50">
        <v>46296</v>
      </c>
      <c r="AJ50">
        <v>46327</v>
      </c>
      <c r="AK50">
        <v>46357</v>
      </c>
      <c r="AL50">
        <v>46388</v>
      </c>
      <c r="AM50">
        <v>46419</v>
      </c>
      <c r="AN50">
        <v>46447</v>
      </c>
      <c r="AO50">
        <v>46478</v>
      </c>
      <c r="AP50">
        <v>46508</v>
      </c>
      <c r="AQ50">
        <v>46539</v>
      </c>
      <c r="AR50">
        <v>46569</v>
      </c>
      <c r="AS50">
        <v>46600</v>
      </c>
      <c r="AT50">
        <v>46631</v>
      </c>
      <c r="AU50">
        <v>46661</v>
      </c>
      <c r="AV50">
        <v>46692</v>
      </c>
      <c r="AW50">
        <v>46722</v>
      </c>
      <c r="AX50">
        <v>46753</v>
      </c>
      <c r="AY50">
        <v>46784</v>
      </c>
      <c r="AZ50">
        <v>46813</v>
      </c>
      <c r="BA50">
        <v>46844</v>
      </c>
      <c r="BB50">
        <v>46874</v>
      </c>
      <c r="BC50">
        <v>46905</v>
      </c>
      <c r="BD50">
        <v>46935</v>
      </c>
      <c r="BE50">
        <v>46966</v>
      </c>
      <c r="BF50">
        <v>46997</v>
      </c>
      <c r="BG50">
        <v>47027</v>
      </c>
      <c r="BH50">
        <v>47058</v>
      </c>
      <c r="BI50">
        <v>47088</v>
      </c>
      <c r="BJ50">
        <v>47119</v>
      </c>
      <c r="BK50">
        <v>47150</v>
      </c>
      <c r="BL50">
        <v>47178</v>
      </c>
      <c r="BM50">
        <v>47209</v>
      </c>
      <c r="BN50">
        <v>47239</v>
      </c>
      <c r="BO50">
        <v>47270</v>
      </c>
      <c r="BP50">
        <v>47300</v>
      </c>
      <c r="BQ50">
        <v>47331</v>
      </c>
      <c r="BR50">
        <v>47362</v>
      </c>
      <c r="BS50">
        <v>47392</v>
      </c>
      <c r="BT50">
        <v>47423</v>
      </c>
      <c r="BU50">
        <v>47453</v>
      </c>
      <c r="BV50">
        <v>47484</v>
      </c>
      <c r="BW50">
        <v>47515</v>
      </c>
      <c r="BX50">
        <v>47543</v>
      </c>
      <c r="BY50">
        <v>47574</v>
      </c>
      <c r="BZ50">
        <v>47604</v>
      </c>
      <c r="CA50">
        <v>47635</v>
      </c>
      <c r="CB50">
        <v>47665</v>
      </c>
      <c r="CC50">
        <v>47696</v>
      </c>
      <c r="CD50">
        <v>47727</v>
      </c>
      <c r="CE50">
        <v>47757</v>
      </c>
      <c r="CF50">
        <v>47788</v>
      </c>
      <c r="CG50">
        <v>47818</v>
      </c>
      <c r="CH50">
        <v>47849</v>
      </c>
      <c r="CI50">
        <v>47880</v>
      </c>
      <c r="CJ50">
        <v>47908</v>
      </c>
      <c r="CK50">
        <v>47939</v>
      </c>
      <c r="CL50">
        <v>47969</v>
      </c>
      <c r="CM50">
        <v>48000</v>
      </c>
      <c r="CN50">
        <v>48030</v>
      </c>
      <c r="CO50">
        <v>48061</v>
      </c>
      <c r="CP50">
        <v>48092</v>
      </c>
      <c r="CQ50">
        <v>48122</v>
      </c>
      <c r="CR50">
        <v>48153</v>
      </c>
      <c r="CS50">
        <v>48183</v>
      </c>
      <c r="CT50">
        <v>48214</v>
      </c>
      <c r="CU50">
        <v>48245</v>
      </c>
      <c r="CV50">
        <v>48274</v>
      </c>
      <c r="CW50">
        <v>48305</v>
      </c>
      <c r="CX50">
        <v>48335</v>
      </c>
      <c r="CY50">
        <v>48366</v>
      </c>
      <c r="CZ50">
        <v>48396</v>
      </c>
      <c r="DA50">
        <v>48427</v>
      </c>
      <c r="DB50">
        <v>48458</v>
      </c>
      <c r="DC50">
        <v>48488</v>
      </c>
      <c r="DD50">
        <v>48519</v>
      </c>
      <c r="DE50">
        <v>48549</v>
      </c>
      <c r="DF50">
        <v>48580</v>
      </c>
      <c r="DG50">
        <v>48611</v>
      </c>
      <c r="DH50">
        <v>48639</v>
      </c>
      <c r="DI50">
        <v>48670</v>
      </c>
      <c r="DJ50">
        <v>48700</v>
      </c>
      <c r="DK50">
        <v>48731</v>
      </c>
      <c r="DL50">
        <v>48761</v>
      </c>
      <c r="DM50">
        <v>48792</v>
      </c>
      <c r="DN50">
        <v>48823</v>
      </c>
      <c r="DO50">
        <v>48853</v>
      </c>
      <c r="DP50">
        <v>48884</v>
      </c>
      <c r="DQ50">
        <v>48914</v>
      </c>
      <c r="DR50">
        <v>48945</v>
      </c>
      <c r="DS50">
        <v>48976</v>
      </c>
      <c r="DT50">
        <v>49004</v>
      </c>
      <c r="DU50">
        <v>49035</v>
      </c>
      <c r="DV50">
        <v>49065</v>
      </c>
      <c r="DW50">
        <v>49096</v>
      </c>
      <c r="DX50">
        <v>49126</v>
      </c>
      <c r="DY50">
        <v>49157</v>
      </c>
      <c r="DZ50">
        <v>49188</v>
      </c>
      <c r="EA50">
        <v>49218</v>
      </c>
      <c r="EB50">
        <v>49249</v>
      </c>
      <c r="EC50">
        <v>49279</v>
      </c>
      <c r="ED50">
        <v>49310</v>
      </c>
      <c r="EE50">
        <v>49341</v>
      </c>
      <c r="EF50">
        <v>49369</v>
      </c>
      <c r="EG50">
        <v>49400</v>
      </c>
      <c r="EH50">
        <v>49430</v>
      </c>
      <c r="EI50">
        <v>49461</v>
      </c>
      <c r="EJ50">
        <v>49491</v>
      </c>
      <c r="EK50">
        <v>49522</v>
      </c>
      <c r="EL50">
        <v>49553</v>
      </c>
      <c r="EM50">
        <v>49583</v>
      </c>
      <c r="EN50">
        <v>49614</v>
      </c>
      <c r="EO50">
        <v>49644</v>
      </c>
      <c r="EP50">
        <v>49675</v>
      </c>
      <c r="EQ50">
        <v>49706</v>
      </c>
      <c r="ER50">
        <v>49735</v>
      </c>
      <c r="ES50">
        <v>49766</v>
      </c>
      <c r="ET50">
        <v>49796</v>
      </c>
      <c r="EU50">
        <v>49827</v>
      </c>
      <c r="EV50">
        <v>49857</v>
      </c>
      <c r="EW50">
        <v>49888</v>
      </c>
      <c r="EX50">
        <v>49919</v>
      </c>
      <c r="EY50">
        <v>49949</v>
      </c>
      <c r="EZ50">
        <v>49980</v>
      </c>
      <c r="FA50">
        <v>50010</v>
      </c>
      <c r="FB50">
        <v>50041</v>
      </c>
      <c r="FC50">
        <v>50072</v>
      </c>
      <c r="FD50">
        <v>50100</v>
      </c>
      <c r="FE50">
        <v>50131</v>
      </c>
      <c r="FF50">
        <v>50161</v>
      </c>
      <c r="FG50">
        <v>50192</v>
      </c>
      <c r="FH50">
        <v>50222</v>
      </c>
      <c r="FI50">
        <v>50253</v>
      </c>
      <c r="FJ50">
        <v>50284</v>
      </c>
      <c r="FK50">
        <v>50314</v>
      </c>
      <c r="FL50">
        <v>50345</v>
      </c>
      <c r="FM50">
        <v>50375</v>
      </c>
      <c r="FN50">
        <v>50406</v>
      </c>
      <c r="FO50">
        <v>50437</v>
      </c>
      <c r="FP50">
        <v>50465</v>
      </c>
      <c r="FQ50">
        <v>50496</v>
      </c>
      <c r="FR50">
        <v>50526</v>
      </c>
      <c r="FS50">
        <v>50557</v>
      </c>
      <c r="FT50">
        <v>50587</v>
      </c>
      <c r="FU50">
        <v>50618</v>
      </c>
      <c r="FV50">
        <v>50649</v>
      </c>
      <c r="FW50">
        <v>50679</v>
      </c>
      <c r="FX50">
        <v>50710</v>
      </c>
      <c r="FY50">
        <v>50740</v>
      </c>
    </row>
    <row r="51" spans="1:181" x14ac:dyDescent="0.3">
      <c r="A51">
        <v>1</v>
      </c>
      <c r="B51">
        <v>1.2999142857142856</v>
      </c>
      <c r="C51">
        <v>1.3134857142857144</v>
      </c>
      <c r="D51">
        <v>1.3382000000000001</v>
      </c>
      <c r="E51">
        <v>1.3547428571428572</v>
      </c>
      <c r="F51">
        <v>1.4460571428571427</v>
      </c>
      <c r="G51">
        <v>1.3947714285714283</v>
      </c>
      <c r="H51">
        <v>1.3970714285714287</v>
      </c>
      <c r="I51">
        <v>1.3382857142857143</v>
      </c>
      <c r="J51">
        <v>1.2671142857142859</v>
      </c>
      <c r="K51">
        <v>1.3326714285714287</v>
      </c>
      <c r="L51">
        <v>1.3918142857142857</v>
      </c>
      <c r="M51">
        <v>1.3467857142857143</v>
      </c>
      <c r="N51">
        <v>1.316057142857143</v>
      </c>
      <c r="O51">
        <v>1.3247</v>
      </c>
      <c r="P51">
        <v>1.3659999999999999</v>
      </c>
      <c r="Q51">
        <v>1.3711714285714287</v>
      </c>
      <c r="R51">
        <v>1.4614142857142856</v>
      </c>
      <c r="S51">
        <v>1.4074428571428572</v>
      </c>
      <c r="T51">
        <v>1.4097999999999999</v>
      </c>
      <c r="U51">
        <v>1.3485142857142858</v>
      </c>
      <c r="V51">
        <v>1.2737428571428571</v>
      </c>
      <c r="W51">
        <v>1.3422714285714286</v>
      </c>
      <c r="X51">
        <v>1.4019428571428574</v>
      </c>
      <c r="Y51">
        <v>1.3546857142857143</v>
      </c>
      <c r="Z51">
        <v>1.3243714285714285</v>
      </c>
      <c r="AA51">
        <v>1.3328285714285715</v>
      </c>
      <c r="AB51">
        <v>1.3745571428571428</v>
      </c>
      <c r="AC51">
        <v>1.3791285714285715</v>
      </c>
      <c r="AD51">
        <v>1.4671428571428571</v>
      </c>
      <c r="AE51">
        <v>1.4132714285714285</v>
      </c>
      <c r="AF51">
        <v>1.4166000000000001</v>
      </c>
      <c r="AG51">
        <v>1.3543714285714283</v>
      </c>
      <c r="AH51">
        <v>1.2785571428571427</v>
      </c>
      <c r="AI51">
        <v>1.3480142857142856</v>
      </c>
      <c r="AJ51">
        <v>1.407057142857143</v>
      </c>
      <c r="AK51">
        <v>1.3598999999999999</v>
      </c>
      <c r="AL51">
        <v>1.3285</v>
      </c>
      <c r="AM51">
        <v>1.3354142857142857</v>
      </c>
      <c r="AN51">
        <v>1.377114285714286</v>
      </c>
      <c r="AO51">
        <v>1.3820714285714284</v>
      </c>
      <c r="AP51">
        <v>1.4700571428571425</v>
      </c>
      <c r="AQ51">
        <v>1.4178714285714287</v>
      </c>
      <c r="AR51">
        <v>1.4221857142857142</v>
      </c>
      <c r="AS51">
        <v>1.3604857142857143</v>
      </c>
      <c r="AT51">
        <v>1.2844142857142857</v>
      </c>
      <c r="AU51">
        <v>1.3527285714285711</v>
      </c>
      <c r="AV51">
        <v>1.4099571428571427</v>
      </c>
      <c r="AW51">
        <v>1.3627714285714287</v>
      </c>
      <c r="AX51">
        <v>1.3333285714285714</v>
      </c>
      <c r="AY51">
        <v>1.3418142857142856</v>
      </c>
      <c r="AZ51">
        <v>1.3697428571428572</v>
      </c>
      <c r="BA51">
        <v>1.3828142857142858</v>
      </c>
      <c r="BB51">
        <v>1.4706571428571429</v>
      </c>
      <c r="BC51">
        <v>1.4209285714285713</v>
      </c>
      <c r="BD51">
        <v>1.4264999999999997</v>
      </c>
      <c r="BE51">
        <v>1.365142857142857</v>
      </c>
      <c r="BF51">
        <v>1.2891857142857144</v>
      </c>
      <c r="BG51">
        <v>1.3556000000000001</v>
      </c>
      <c r="BH51">
        <v>1.4106428571428573</v>
      </c>
      <c r="BI51">
        <v>1.3641428571428571</v>
      </c>
      <c r="BJ51">
        <v>1.3335285714285714</v>
      </c>
      <c r="BK51">
        <v>1.3356571428571427</v>
      </c>
      <c r="BL51">
        <v>1.3767285714285715</v>
      </c>
      <c r="BM51">
        <v>1.3825428571428573</v>
      </c>
      <c r="BN51">
        <v>1.4707142857142856</v>
      </c>
      <c r="BO51">
        <v>1.4265142857142858</v>
      </c>
      <c r="BP51">
        <v>1.4344999999999999</v>
      </c>
      <c r="BQ51">
        <v>1.3747</v>
      </c>
      <c r="BR51">
        <v>1.296442857142857</v>
      </c>
      <c r="BS51">
        <v>1.3614571428571429</v>
      </c>
      <c r="BT51">
        <v>1.4131571428571428</v>
      </c>
      <c r="BU51">
        <v>1.3660999999999999</v>
      </c>
      <c r="BV51">
        <v>1.3338285714285714</v>
      </c>
      <c r="BW51">
        <v>1.3350000000000002</v>
      </c>
      <c r="BX51">
        <v>1.3757714285714289</v>
      </c>
      <c r="BY51">
        <v>1.3818142857142859</v>
      </c>
      <c r="BZ51">
        <v>1.4698999999999998</v>
      </c>
      <c r="CA51">
        <v>1.4288999999999998</v>
      </c>
      <c r="CB51">
        <v>1.4388714285714286</v>
      </c>
      <c r="CC51">
        <v>1.3798428571428569</v>
      </c>
      <c r="CD51">
        <v>1.3008857142857144</v>
      </c>
      <c r="CE51">
        <v>1.3638571428571427</v>
      </c>
      <c r="CF51">
        <v>1.4133142857142857</v>
      </c>
      <c r="CG51">
        <v>1.3662571428571426</v>
      </c>
      <c r="CH51">
        <v>1.3340142857142856</v>
      </c>
      <c r="CI51">
        <v>1.3339571428571426</v>
      </c>
      <c r="CJ51">
        <v>1.3742428571428571</v>
      </c>
      <c r="CK51">
        <v>1.3804000000000001</v>
      </c>
      <c r="CL51">
        <v>1.4680428571428572</v>
      </c>
      <c r="CM51">
        <v>1.4308571428571428</v>
      </c>
      <c r="CN51">
        <v>1.4429571428571428</v>
      </c>
      <c r="CO51">
        <v>1.3848285714285713</v>
      </c>
      <c r="CP51">
        <v>1.3049428571428572</v>
      </c>
      <c r="CQ51">
        <v>1.3653571428571429</v>
      </c>
      <c r="CR51">
        <v>1.4134285714285717</v>
      </c>
      <c r="CS51">
        <v>1.3647428571428573</v>
      </c>
      <c r="CT51">
        <v>1.3333285714285714</v>
      </c>
      <c r="CU51">
        <v>1.3365571428571428</v>
      </c>
      <c r="CV51">
        <v>1.3639428571428573</v>
      </c>
      <c r="CW51">
        <v>1.3780428571428571</v>
      </c>
      <c r="CX51">
        <v>1.4652142857142856</v>
      </c>
      <c r="CY51">
        <v>1.431657142857143</v>
      </c>
      <c r="CZ51">
        <v>1.4461142857142857</v>
      </c>
      <c r="DA51">
        <v>1.3890714285714285</v>
      </c>
      <c r="DB51">
        <v>1.3085714285714285</v>
      </c>
      <c r="DC51">
        <v>1.3658714285714286</v>
      </c>
      <c r="DD51">
        <v>1.4110571428571428</v>
      </c>
      <c r="DE51">
        <v>1.3628285714285713</v>
      </c>
      <c r="DF51">
        <v>1.3305142857142855</v>
      </c>
      <c r="DG51">
        <v>1.3282857142857143</v>
      </c>
      <c r="DH51">
        <v>1.3679714285714286</v>
      </c>
      <c r="DI51">
        <v>1.3742999999999999</v>
      </c>
      <c r="DJ51">
        <v>1.4610428571428571</v>
      </c>
      <c r="DK51">
        <v>1.4314000000000002</v>
      </c>
      <c r="DL51">
        <v>1.4487142857142856</v>
      </c>
      <c r="DM51">
        <v>1.3932</v>
      </c>
      <c r="DN51">
        <v>1.3115142857142856</v>
      </c>
      <c r="DO51">
        <v>1.3661285714285714</v>
      </c>
      <c r="DP51">
        <v>1.4093571428571428</v>
      </c>
      <c r="DQ51">
        <v>1.3602142857142856</v>
      </c>
      <c r="DR51">
        <v>1.3284142857142858</v>
      </c>
      <c r="DS51">
        <v>1.3251285714285714</v>
      </c>
      <c r="DT51">
        <v>1.3644999999999998</v>
      </c>
      <c r="DU51">
        <v>1.3709285714285715</v>
      </c>
      <c r="DV51">
        <v>1.4570714285714286</v>
      </c>
      <c r="DW51">
        <v>1.4311</v>
      </c>
      <c r="DX51">
        <v>1.451057142857143</v>
      </c>
      <c r="DY51">
        <v>1.397342857142857</v>
      </c>
      <c r="DZ51">
        <v>1.3146428571428572</v>
      </c>
      <c r="EA51">
        <v>1.3658999999999999</v>
      </c>
      <c r="EB51">
        <v>1.4068428571428571</v>
      </c>
      <c r="EC51">
        <v>1.3575999999999999</v>
      </c>
      <c r="ED51">
        <v>1.3261714285714288</v>
      </c>
      <c r="EE51">
        <v>1.3219285714285713</v>
      </c>
      <c r="EF51">
        <v>1.361057142857143</v>
      </c>
      <c r="EG51">
        <v>1.3676285714285714</v>
      </c>
      <c r="EH51">
        <v>1.4530857142857143</v>
      </c>
      <c r="EI51">
        <v>1.4305000000000001</v>
      </c>
      <c r="EJ51">
        <v>1.4528571428571428</v>
      </c>
      <c r="EK51">
        <v>1.4012428571428572</v>
      </c>
      <c r="EL51">
        <v>1.3175428571428571</v>
      </c>
      <c r="EM51">
        <v>1.3650714285714289</v>
      </c>
      <c r="EN51">
        <v>1.4042999999999999</v>
      </c>
      <c r="EO51">
        <v>1.3528</v>
      </c>
      <c r="EP51">
        <v>1.3242285714285715</v>
      </c>
      <c r="EQ51">
        <v>1.3176428571428571</v>
      </c>
      <c r="ER51">
        <v>1.3505285714285713</v>
      </c>
      <c r="ES51">
        <v>1.3641142857142856</v>
      </c>
      <c r="ET51">
        <v>1.4486285714285714</v>
      </c>
      <c r="EU51">
        <v>1.429742857142857</v>
      </c>
      <c r="EV51">
        <v>1.4542142857142859</v>
      </c>
      <c r="EW51">
        <v>1.4050428571428573</v>
      </c>
      <c r="EX51">
        <v>1.3199857142857143</v>
      </c>
      <c r="EY51">
        <v>1.3633142857142857</v>
      </c>
      <c r="EZ51">
        <v>1.4002571428571429</v>
      </c>
      <c r="FA51">
        <v>1.3501285714285713</v>
      </c>
      <c r="FB51">
        <v>1.3207285714285713</v>
      </c>
      <c r="FC51">
        <v>1.314942857142857</v>
      </c>
      <c r="FD51">
        <v>1.3534857142857142</v>
      </c>
      <c r="FE51">
        <v>1.3600857142857143</v>
      </c>
      <c r="FF51">
        <v>1.443842857142857</v>
      </c>
      <c r="FG51">
        <v>1.4286857142857143</v>
      </c>
      <c r="FH51">
        <v>1.4551714285714288</v>
      </c>
      <c r="FI51">
        <v>1.4090857142857143</v>
      </c>
      <c r="FJ51">
        <v>1.3222571428571428</v>
      </c>
      <c r="FK51">
        <v>1.3618571428571431</v>
      </c>
      <c r="FL51">
        <v>1.3977142857142859</v>
      </c>
      <c r="FM51">
        <v>1.3473857142857142</v>
      </c>
      <c r="FN51">
        <v>1.3193999999999999</v>
      </c>
      <c r="FO51">
        <v>1.3116000000000001</v>
      </c>
      <c r="FP51">
        <v>1.350657142857143</v>
      </c>
      <c r="FQ51">
        <v>1.3565</v>
      </c>
      <c r="FR51">
        <v>1.4395571428571432</v>
      </c>
      <c r="FS51">
        <v>1.4276</v>
      </c>
      <c r="FT51">
        <v>1.4552714285714285</v>
      </c>
      <c r="FU51">
        <v>1.4124714285714286</v>
      </c>
      <c r="FV51">
        <v>1.3240714285714286</v>
      </c>
      <c r="FW51">
        <v>1.3597999999999999</v>
      </c>
      <c r="FX51">
        <v>1.3946571428571428</v>
      </c>
      <c r="FY51">
        <v>1.3444</v>
      </c>
    </row>
    <row r="52" spans="1:181" x14ac:dyDescent="0.3">
      <c r="A52">
        <v>2</v>
      </c>
      <c r="B52">
        <v>1.109157142857143</v>
      </c>
      <c r="C52">
        <v>1.098742857142857</v>
      </c>
      <c r="D52">
        <v>1.1235571428571429</v>
      </c>
      <c r="E52">
        <v>1.1426714285714286</v>
      </c>
      <c r="F52">
        <v>1.1654714285714285</v>
      </c>
      <c r="G52">
        <v>1.1448285714285713</v>
      </c>
      <c r="H52">
        <v>1.1429000000000002</v>
      </c>
      <c r="I52">
        <v>1.1484000000000001</v>
      </c>
      <c r="J52">
        <v>1.1269714285714285</v>
      </c>
      <c r="K52">
        <v>1.1195285714285714</v>
      </c>
      <c r="L52">
        <v>1.1201285714285714</v>
      </c>
      <c r="M52">
        <v>1.1297999999999999</v>
      </c>
      <c r="N52">
        <v>1.1074857142857142</v>
      </c>
      <c r="O52">
        <v>1.098257142857143</v>
      </c>
      <c r="P52">
        <v>1.1303000000000001</v>
      </c>
      <c r="Q52">
        <v>1.1443857142857143</v>
      </c>
      <c r="R52">
        <v>1.1639428571428572</v>
      </c>
      <c r="S52">
        <v>1.1479571428571429</v>
      </c>
      <c r="T52">
        <v>1.1472714285714285</v>
      </c>
      <c r="U52">
        <v>1.1536714285714285</v>
      </c>
      <c r="V52">
        <v>1.1308714285714285</v>
      </c>
      <c r="W52">
        <v>1.1222142857142856</v>
      </c>
      <c r="X52">
        <v>1.1217428571428572</v>
      </c>
      <c r="Y52">
        <v>1.1308142857142855</v>
      </c>
      <c r="Z52">
        <v>1.1064428571428571</v>
      </c>
      <c r="AA52">
        <v>1.1004428571428571</v>
      </c>
      <c r="AB52">
        <v>1.1307142857142856</v>
      </c>
      <c r="AC52">
        <v>1.1456857142857142</v>
      </c>
      <c r="AD52">
        <v>1.1646285714285713</v>
      </c>
      <c r="AE52">
        <v>1.1500571428571431</v>
      </c>
      <c r="AF52">
        <v>1.1496142857142857</v>
      </c>
      <c r="AG52">
        <v>1.1555285714285717</v>
      </c>
      <c r="AH52">
        <v>1.1325857142857143</v>
      </c>
      <c r="AI52">
        <v>1.1234</v>
      </c>
      <c r="AJ52">
        <v>1.1232714285714285</v>
      </c>
      <c r="AK52">
        <v>1.1323000000000001</v>
      </c>
      <c r="AL52">
        <v>1.1079571428571426</v>
      </c>
      <c r="AM52">
        <v>1.1035428571428572</v>
      </c>
      <c r="AN52">
        <v>1.1331714285714285</v>
      </c>
      <c r="AO52">
        <v>1.1481285714285714</v>
      </c>
      <c r="AP52">
        <v>1.1664714285714286</v>
      </c>
      <c r="AQ52">
        <v>1.1520428571428571</v>
      </c>
      <c r="AR52">
        <v>1.1507714285714286</v>
      </c>
      <c r="AS52">
        <v>1.156914285714286</v>
      </c>
      <c r="AT52">
        <v>1.1340142857142859</v>
      </c>
      <c r="AU52">
        <v>1.1248857142857143</v>
      </c>
      <c r="AV52">
        <v>1.1256714285714284</v>
      </c>
      <c r="AW52">
        <v>1.1345857142857141</v>
      </c>
      <c r="AX52">
        <v>1.1094285714285717</v>
      </c>
      <c r="AY52">
        <v>1.1104000000000001</v>
      </c>
      <c r="AZ52">
        <v>1.1292714285714285</v>
      </c>
      <c r="BA52">
        <v>1.1501714285714286</v>
      </c>
      <c r="BB52">
        <v>1.1678285714285714</v>
      </c>
      <c r="BC52">
        <v>1.153385714285714</v>
      </c>
      <c r="BD52">
        <v>1.1516714285714287</v>
      </c>
      <c r="BE52">
        <v>1.1575714285714285</v>
      </c>
      <c r="BF52">
        <v>1.1347285714285713</v>
      </c>
      <c r="BG52">
        <v>1.1258428571428571</v>
      </c>
      <c r="BH52">
        <v>1.1273714285714285</v>
      </c>
      <c r="BI52">
        <v>1.1366714285714286</v>
      </c>
      <c r="BJ52">
        <v>1.1116285714285714</v>
      </c>
      <c r="BK52">
        <v>1.1084714285714286</v>
      </c>
      <c r="BL52">
        <v>1.137342857142857</v>
      </c>
      <c r="BM52">
        <v>1.1521142857142856</v>
      </c>
      <c r="BN52">
        <v>1.1696285714285715</v>
      </c>
      <c r="BO52">
        <v>1.1553142857142855</v>
      </c>
      <c r="BP52">
        <v>1.1526714285714286</v>
      </c>
      <c r="BQ52">
        <v>1.1580714285714286</v>
      </c>
      <c r="BR52">
        <v>1.135542857142857</v>
      </c>
      <c r="BS52">
        <v>1.1274571428571429</v>
      </c>
      <c r="BT52">
        <v>1.1302857142857143</v>
      </c>
      <c r="BU52">
        <v>1.1393</v>
      </c>
      <c r="BV52">
        <v>1.1129857142857142</v>
      </c>
      <c r="BW52">
        <v>1.1104999999999998</v>
      </c>
      <c r="BX52">
        <v>1.1389285714285715</v>
      </c>
      <c r="BY52">
        <v>1.1536428571428574</v>
      </c>
      <c r="BZ52">
        <v>1.1708857142857145</v>
      </c>
      <c r="CA52">
        <v>1.1569285714285713</v>
      </c>
      <c r="CB52">
        <v>1.1536714285714287</v>
      </c>
      <c r="CC52">
        <v>1.1585857142857143</v>
      </c>
      <c r="CD52">
        <v>1.1361571428571429</v>
      </c>
      <c r="CE52">
        <v>1.1285428571428571</v>
      </c>
      <c r="CF52">
        <v>1.1320285714285714</v>
      </c>
      <c r="CG52">
        <v>1.1411</v>
      </c>
      <c r="CH52">
        <v>1.1144571428571428</v>
      </c>
      <c r="CI52">
        <v>1.1122999999999998</v>
      </c>
      <c r="CJ52">
        <v>1.1403285714285716</v>
      </c>
      <c r="CK52">
        <v>1.1550571428571428</v>
      </c>
      <c r="CL52">
        <v>1.1720857142857142</v>
      </c>
      <c r="CM52">
        <v>1.1588857142857143</v>
      </c>
      <c r="CN52">
        <v>1.1543571428571429</v>
      </c>
      <c r="CO52">
        <v>1.1587428571428571</v>
      </c>
      <c r="CP52">
        <v>1.1362857142857141</v>
      </c>
      <c r="CQ52">
        <v>1.1293857142857144</v>
      </c>
      <c r="CR52">
        <v>1.1335000000000002</v>
      </c>
      <c r="CS52">
        <v>1.1422857142857143</v>
      </c>
      <c r="CT52">
        <v>1.1158142857142859</v>
      </c>
      <c r="CU52">
        <v>1.116842857142857</v>
      </c>
      <c r="CV52">
        <v>1.1353285714285715</v>
      </c>
      <c r="CW52">
        <v>1.1560571428571429</v>
      </c>
      <c r="CX52">
        <v>1.1730714285714285</v>
      </c>
      <c r="CY52">
        <v>1.1604285714285716</v>
      </c>
      <c r="CZ52">
        <v>1.1545857142857141</v>
      </c>
      <c r="DA52">
        <v>1.1583142857142856</v>
      </c>
      <c r="DB52">
        <v>1.1359142857142857</v>
      </c>
      <c r="DC52">
        <v>1.1298142857142857</v>
      </c>
      <c r="DD52">
        <v>1.1345571428571428</v>
      </c>
      <c r="DE52">
        <v>1.1435</v>
      </c>
      <c r="DF52">
        <v>1.1158142857142856</v>
      </c>
      <c r="DG52">
        <v>1.1132000000000002</v>
      </c>
      <c r="DH52">
        <v>1.1415857142857144</v>
      </c>
      <c r="DI52">
        <v>1.1562428571428571</v>
      </c>
      <c r="DJ52">
        <v>1.1732857142857145</v>
      </c>
      <c r="DK52">
        <v>1.1616714285714287</v>
      </c>
      <c r="DL52">
        <v>1.1547857142857143</v>
      </c>
      <c r="DM52">
        <v>1.1579285714285714</v>
      </c>
      <c r="DN52">
        <v>1.1355428571428572</v>
      </c>
      <c r="DO52">
        <v>1.1305000000000001</v>
      </c>
      <c r="DP52">
        <v>1.1358571428571429</v>
      </c>
      <c r="DQ52">
        <v>1.1442714285714286</v>
      </c>
      <c r="DR52">
        <v>1.1164857142857141</v>
      </c>
      <c r="DS52">
        <v>1.1134999999999999</v>
      </c>
      <c r="DT52">
        <v>1.1421142857142859</v>
      </c>
      <c r="DU52">
        <v>1.1567285714285713</v>
      </c>
      <c r="DV52">
        <v>1.1737714285714287</v>
      </c>
      <c r="DW52">
        <v>1.1634285714285715</v>
      </c>
      <c r="DX52">
        <v>1.1555</v>
      </c>
      <c r="DY52">
        <v>1.1578285714285712</v>
      </c>
      <c r="DZ52">
        <v>1.1355285714285714</v>
      </c>
      <c r="EA52">
        <v>1.131342857142857</v>
      </c>
      <c r="EB52">
        <v>1.136957142857143</v>
      </c>
      <c r="EC52">
        <v>1.1451</v>
      </c>
      <c r="ED52">
        <v>1.1170714285714285</v>
      </c>
      <c r="EE52">
        <v>1.1137857142857144</v>
      </c>
      <c r="EF52">
        <v>1.1425000000000001</v>
      </c>
      <c r="EG52">
        <v>1.1570285714285713</v>
      </c>
      <c r="EH52">
        <v>1.1743428571428571</v>
      </c>
      <c r="EI52">
        <v>1.1651714285714285</v>
      </c>
      <c r="EJ52">
        <v>1.1565285714285716</v>
      </c>
      <c r="EK52">
        <v>1.1580999999999999</v>
      </c>
      <c r="EL52">
        <v>1.1359142857142857</v>
      </c>
      <c r="EM52">
        <v>1.1325000000000001</v>
      </c>
      <c r="EN52">
        <v>1.1380999999999999</v>
      </c>
      <c r="EO52">
        <v>1.1460428571428571</v>
      </c>
      <c r="EP52">
        <v>1.1179857142857141</v>
      </c>
      <c r="EQ52">
        <v>1.1180857142857143</v>
      </c>
      <c r="ER52">
        <v>1.1371285714285715</v>
      </c>
      <c r="ES52">
        <v>1.1574714285714285</v>
      </c>
      <c r="ET52">
        <v>1.1747571428571428</v>
      </c>
      <c r="EU52">
        <v>1.209842857142857</v>
      </c>
      <c r="EV52">
        <v>1.1578142857142857</v>
      </c>
      <c r="EW52">
        <v>1.1583428571428571</v>
      </c>
      <c r="EX52">
        <v>1.1364000000000001</v>
      </c>
      <c r="EY52">
        <v>1.1333</v>
      </c>
      <c r="EZ52">
        <v>1.1387428571428571</v>
      </c>
      <c r="FA52">
        <v>1.1467571428571428</v>
      </c>
      <c r="FB52">
        <v>1.1178857142857141</v>
      </c>
      <c r="FC52">
        <v>1.1139714285714286</v>
      </c>
      <c r="FD52">
        <v>1.1429142857142855</v>
      </c>
      <c r="FE52">
        <v>1.1574714285714285</v>
      </c>
      <c r="FF52">
        <v>1.1749571428571428</v>
      </c>
      <c r="FG52">
        <v>1.1684285714285714</v>
      </c>
      <c r="FH52">
        <v>1.1596571428571429</v>
      </c>
      <c r="FI52">
        <v>1.1589857142857143</v>
      </c>
      <c r="FJ52">
        <v>1.1374</v>
      </c>
      <c r="FK52">
        <v>1.1347428571428571</v>
      </c>
      <c r="FL52">
        <v>1.1399571428571431</v>
      </c>
      <c r="FM52">
        <v>1.1473285714285715</v>
      </c>
      <c r="FN52">
        <v>1.1187</v>
      </c>
      <c r="FO52">
        <v>1.1140857142857143</v>
      </c>
      <c r="FP52">
        <v>1.1435571428571429</v>
      </c>
      <c r="FQ52">
        <v>1.1576428571428572</v>
      </c>
      <c r="FR52">
        <v>1.1752714285714287</v>
      </c>
      <c r="FS52">
        <v>1.1700857142857146</v>
      </c>
      <c r="FT52">
        <v>1.1614142857142855</v>
      </c>
      <c r="FU52">
        <v>1.1605428571428571</v>
      </c>
      <c r="FV52">
        <v>1.1387</v>
      </c>
      <c r="FW52">
        <v>1.1361428571428571</v>
      </c>
      <c r="FX52">
        <v>1.1407571428571428</v>
      </c>
      <c r="FY52">
        <v>1.1475714285714285</v>
      </c>
    </row>
    <row r="53" spans="1:181" x14ac:dyDescent="0.3">
      <c r="A53">
        <v>3</v>
      </c>
      <c r="B53">
        <v>0.97465714285714278</v>
      </c>
      <c r="C53">
        <v>0.96370000000000011</v>
      </c>
      <c r="D53">
        <v>0.97319999999999995</v>
      </c>
      <c r="E53">
        <v>0.95610000000000006</v>
      </c>
      <c r="F53">
        <v>0.96950000000000003</v>
      </c>
      <c r="G53">
        <v>0.9598000000000001</v>
      </c>
      <c r="H53">
        <v>0.96004285714285698</v>
      </c>
      <c r="I53">
        <v>0.95834285714285716</v>
      </c>
      <c r="J53">
        <v>0.96742857142857142</v>
      </c>
      <c r="K53">
        <v>0.96322857142857132</v>
      </c>
      <c r="L53">
        <v>0.96640000000000004</v>
      </c>
      <c r="M53">
        <v>0.97565714285714289</v>
      </c>
      <c r="N53">
        <v>0.97315714285714294</v>
      </c>
      <c r="O53">
        <v>0.9717285714285715</v>
      </c>
      <c r="P53">
        <v>0.96729999999999994</v>
      </c>
      <c r="Q53">
        <v>0.95128571428571429</v>
      </c>
      <c r="R53">
        <v>0.95069999999999999</v>
      </c>
      <c r="S53">
        <v>0.95761428571428575</v>
      </c>
      <c r="T53">
        <v>0.95890000000000009</v>
      </c>
      <c r="U53">
        <v>0.95705714285714283</v>
      </c>
      <c r="V53">
        <v>0.96817142857142868</v>
      </c>
      <c r="W53">
        <v>0.9615999999999999</v>
      </c>
      <c r="X53">
        <v>0.96551428571428566</v>
      </c>
      <c r="Y53">
        <v>0.9749000000000001</v>
      </c>
      <c r="Z53">
        <v>0.97141428571428567</v>
      </c>
      <c r="AA53">
        <v>0.97344285714285694</v>
      </c>
      <c r="AB53">
        <v>0.9665285714285714</v>
      </c>
      <c r="AC53">
        <v>0.95032857142857152</v>
      </c>
      <c r="AD53">
        <v>0.94707142857142845</v>
      </c>
      <c r="AE53">
        <v>0.9571428571428573</v>
      </c>
      <c r="AF53">
        <v>0.95949999999999991</v>
      </c>
      <c r="AG53">
        <v>0.95701428571428582</v>
      </c>
      <c r="AH53">
        <v>0.96925714285714282</v>
      </c>
      <c r="AI53">
        <v>0.96081428571428573</v>
      </c>
      <c r="AJ53">
        <v>0.96454285714285715</v>
      </c>
      <c r="AK53">
        <v>0.97408571428571433</v>
      </c>
      <c r="AL53">
        <v>0.97044285714285716</v>
      </c>
      <c r="AM53">
        <v>0.97350000000000014</v>
      </c>
      <c r="AN53">
        <v>0.96568571428571437</v>
      </c>
      <c r="AO53">
        <v>0.94872857142857137</v>
      </c>
      <c r="AP53">
        <v>0.94485714285714273</v>
      </c>
      <c r="AQ53">
        <v>0.95638571428571428</v>
      </c>
      <c r="AR53">
        <v>0.95899999999999985</v>
      </c>
      <c r="AS53">
        <v>0.95637142857142865</v>
      </c>
      <c r="AT53">
        <v>0.96950000000000003</v>
      </c>
      <c r="AU53">
        <v>0.96008571428571432</v>
      </c>
      <c r="AV53">
        <v>0.96312857142857133</v>
      </c>
      <c r="AW53">
        <v>0.97302857142857135</v>
      </c>
      <c r="AX53">
        <v>0.96912857142857134</v>
      </c>
      <c r="AY53">
        <v>0.96729999999999994</v>
      </c>
      <c r="AZ53">
        <v>0.9676285714285715</v>
      </c>
      <c r="BA53">
        <v>0.94720000000000015</v>
      </c>
      <c r="BB53">
        <v>0.94321428571428567</v>
      </c>
      <c r="BC53">
        <v>0.95562857142857138</v>
      </c>
      <c r="BD53">
        <v>0.95855714285714277</v>
      </c>
      <c r="BE53">
        <v>0.95577142857142849</v>
      </c>
      <c r="BF53">
        <v>0.96950000000000003</v>
      </c>
      <c r="BG53">
        <v>0.95939999999999992</v>
      </c>
      <c r="BH53">
        <v>0.96191428571428583</v>
      </c>
      <c r="BI53">
        <v>0.97205714285714273</v>
      </c>
      <c r="BJ53">
        <v>0.96761428571428587</v>
      </c>
      <c r="BK53">
        <v>0.97320000000000007</v>
      </c>
      <c r="BL53">
        <v>0.96419999999999995</v>
      </c>
      <c r="BM53">
        <v>0.94578571428571423</v>
      </c>
      <c r="BN53">
        <v>0.94162857142857148</v>
      </c>
      <c r="BO53">
        <v>0.9546</v>
      </c>
      <c r="BP53">
        <v>0.95795714285714273</v>
      </c>
      <c r="BQ53">
        <v>0.95504285714285708</v>
      </c>
      <c r="BR53">
        <v>0.96925714285714293</v>
      </c>
      <c r="BS53">
        <v>0.95849999999999991</v>
      </c>
      <c r="BT53">
        <v>0.96010000000000006</v>
      </c>
      <c r="BU53">
        <v>0.97098571428571423</v>
      </c>
      <c r="BV53">
        <v>0.9668714285714286</v>
      </c>
      <c r="BW53">
        <v>0.97340000000000004</v>
      </c>
      <c r="BX53">
        <v>0.96365714285714277</v>
      </c>
      <c r="BY53">
        <v>0.94458571428571436</v>
      </c>
      <c r="BZ53">
        <v>0.94020000000000004</v>
      </c>
      <c r="CA53">
        <v>0.95344285714285726</v>
      </c>
      <c r="CB53">
        <v>0.95731428571428567</v>
      </c>
      <c r="CC53">
        <v>0.95428571428571429</v>
      </c>
      <c r="CD53">
        <v>0.96919999999999995</v>
      </c>
      <c r="CE53">
        <v>0.95781428571428573</v>
      </c>
      <c r="CF53">
        <v>0.95874285714285712</v>
      </c>
      <c r="CG53">
        <v>0.9703142857142858</v>
      </c>
      <c r="CH53">
        <v>0.96601428571428571</v>
      </c>
      <c r="CI53">
        <v>0.97337142857142855</v>
      </c>
      <c r="CJ53">
        <v>0.96307142857142847</v>
      </c>
      <c r="CK53">
        <v>0.94345714285714277</v>
      </c>
      <c r="CL53">
        <v>0.9389142857142857</v>
      </c>
      <c r="CM53">
        <v>0.95231428571428567</v>
      </c>
      <c r="CN53">
        <v>0.95622857142857143</v>
      </c>
      <c r="CO53">
        <v>0.95345714285714289</v>
      </c>
      <c r="CP53">
        <v>0.96880000000000011</v>
      </c>
      <c r="CQ53">
        <v>0.95737142857142854</v>
      </c>
      <c r="CR53">
        <v>0.95778571428571435</v>
      </c>
      <c r="CS53">
        <v>0.96958571428571438</v>
      </c>
      <c r="CT53">
        <v>0.96531428571428557</v>
      </c>
      <c r="CU53">
        <v>0.96465714285714288</v>
      </c>
      <c r="CV53">
        <v>0.9656285714285715</v>
      </c>
      <c r="CW53">
        <v>0.9425</v>
      </c>
      <c r="CX53">
        <v>0.9381571428571428</v>
      </c>
      <c r="CY53">
        <v>0.95087142857142837</v>
      </c>
      <c r="CZ53">
        <v>0.95491428571428572</v>
      </c>
      <c r="DA53">
        <v>0.9523571428571429</v>
      </c>
      <c r="DB53">
        <v>0.96817142857142857</v>
      </c>
      <c r="DC53">
        <v>0.95668571428571436</v>
      </c>
      <c r="DD53">
        <v>0.9569428571428571</v>
      </c>
      <c r="DE53">
        <v>0.96919999999999995</v>
      </c>
      <c r="DF53">
        <v>0.96522857142857155</v>
      </c>
      <c r="DG53">
        <v>0.97221428571428581</v>
      </c>
      <c r="DH53">
        <v>0.96262857142857139</v>
      </c>
      <c r="DI53">
        <v>0.9421571428571428</v>
      </c>
      <c r="DJ53">
        <v>0.93759999999999988</v>
      </c>
      <c r="DK53">
        <v>0.94968571428571436</v>
      </c>
      <c r="DL53">
        <v>0.95348571428571438</v>
      </c>
      <c r="DM53">
        <v>0.95137142857142865</v>
      </c>
      <c r="DN53">
        <v>0.96732857142857143</v>
      </c>
      <c r="DO53">
        <v>0.95607142857142857</v>
      </c>
      <c r="DP53">
        <v>0.95612857142857144</v>
      </c>
      <c r="DQ53">
        <v>0.96888571428571424</v>
      </c>
      <c r="DR53">
        <v>0.9649428571428571</v>
      </c>
      <c r="DS53">
        <v>0.97175714285714299</v>
      </c>
      <c r="DT53">
        <v>0.96254285714285726</v>
      </c>
      <c r="DU53">
        <v>0.94158571428571436</v>
      </c>
      <c r="DV53">
        <v>0.93704285714285707</v>
      </c>
      <c r="DW53">
        <v>0.94852857142857139</v>
      </c>
      <c r="DX53">
        <v>0.95178571428571423</v>
      </c>
      <c r="DY53">
        <v>0.95015714285714281</v>
      </c>
      <c r="DZ53">
        <v>0.96645714285714279</v>
      </c>
      <c r="EA53">
        <v>0.95544285714285704</v>
      </c>
      <c r="EB53">
        <v>0.95551428571428565</v>
      </c>
      <c r="EC53">
        <v>0.96854285714285726</v>
      </c>
      <c r="ED53">
        <v>0.96472857142857138</v>
      </c>
      <c r="EE53">
        <v>0.97118571428571421</v>
      </c>
      <c r="EF53">
        <v>0.96237142857142843</v>
      </c>
      <c r="EG53">
        <v>0.94102857142857144</v>
      </c>
      <c r="EH53">
        <v>0.93658571428571435</v>
      </c>
      <c r="EI53">
        <v>0.94739999999999991</v>
      </c>
      <c r="EJ53">
        <v>0.95014285714285696</v>
      </c>
      <c r="EK53">
        <v>0.9490142857142857</v>
      </c>
      <c r="EL53">
        <v>0.96550000000000025</v>
      </c>
      <c r="EM53">
        <v>0.9548714285714287</v>
      </c>
      <c r="EN53">
        <v>0.95502857142857145</v>
      </c>
      <c r="EO53">
        <v>0.96832857142857143</v>
      </c>
      <c r="EP53">
        <v>0.96454285714285704</v>
      </c>
      <c r="EQ53">
        <v>0.96125714285714281</v>
      </c>
      <c r="ER53">
        <v>0.96542857142857141</v>
      </c>
      <c r="ES53">
        <v>0.94051428571428575</v>
      </c>
      <c r="ET53">
        <v>0.93621428571428578</v>
      </c>
      <c r="EU53">
        <v>1.0074714285714286</v>
      </c>
      <c r="EV53">
        <v>0.94830000000000003</v>
      </c>
      <c r="EW53">
        <v>0.94782857142857146</v>
      </c>
      <c r="EX53">
        <v>0.96445714285714279</v>
      </c>
      <c r="EY53">
        <v>0.95422857142857154</v>
      </c>
      <c r="EZ53">
        <v>0.95478571428571435</v>
      </c>
      <c r="FA53">
        <v>0.96827142857142845</v>
      </c>
      <c r="FB53">
        <v>0.96460000000000001</v>
      </c>
      <c r="FC53">
        <v>0.97005714285714295</v>
      </c>
      <c r="FD53">
        <v>0.96230000000000004</v>
      </c>
      <c r="FE53">
        <v>0.9403285714285714</v>
      </c>
      <c r="FF53">
        <v>0.93592857142857144</v>
      </c>
      <c r="FG53">
        <v>0.94540000000000002</v>
      </c>
      <c r="FH53">
        <v>0.94662857142857137</v>
      </c>
      <c r="FI53">
        <v>0.94639999999999991</v>
      </c>
      <c r="FJ53">
        <v>0.96299999999999997</v>
      </c>
      <c r="FK53">
        <v>0.95355714285714288</v>
      </c>
      <c r="FL53">
        <v>0.95434285714285727</v>
      </c>
      <c r="FM53">
        <v>0.96822857142857133</v>
      </c>
      <c r="FN53">
        <v>0.96447142857142865</v>
      </c>
      <c r="FO53">
        <v>0.96954285714285715</v>
      </c>
      <c r="FP53">
        <v>0.96218571428571431</v>
      </c>
      <c r="FQ53">
        <v>0.94002857142857132</v>
      </c>
      <c r="FR53">
        <v>0.93567142857142849</v>
      </c>
      <c r="FS53">
        <v>0.94460000000000011</v>
      </c>
      <c r="FT53">
        <v>0.94501428571428558</v>
      </c>
      <c r="FU53">
        <v>0.94510000000000005</v>
      </c>
      <c r="FV53">
        <v>0.96150000000000013</v>
      </c>
      <c r="FW53">
        <v>0.95300000000000007</v>
      </c>
      <c r="FX53">
        <v>0.95397142857142847</v>
      </c>
      <c r="FY53">
        <v>0.96814285714285719</v>
      </c>
    </row>
    <row r="54" spans="1:181" x14ac:dyDescent="0.3">
      <c r="A54">
        <v>4</v>
      </c>
      <c r="B54">
        <v>0.79238571428571425</v>
      </c>
      <c r="C54">
        <v>0.81738571428571427</v>
      </c>
      <c r="D54">
        <v>0.81455714285714287</v>
      </c>
      <c r="E54">
        <v>0.80061428571428572</v>
      </c>
      <c r="F54">
        <v>0.81702857142857133</v>
      </c>
      <c r="G54">
        <v>0.82702857142857145</v>
      </c>
      <c r="H54">
        <v>0.83178571428571424</v>
      </c>
      <c r="I54">
        <v>0.81592857142857145</v>
      </c>
      <c r="J54">
        <v>0.83239999999999992</v>
      </c>
      <c r="K54">
        <v>0.8509714285714286</v>
      </c>
      <c r="L54">
        <v>0.82431428571428567</v>
      </c>
      <c r="M54">
        <v>0.8296285714285716</v>
      </c>
      <c r="N54">
        <v>0.78572857142857144</v>
      </c>
      <c r="O54">
        <v>0.84484285714285712</v>
      </c>
      <c r="P54">
        <v>0.80432857142857139</v>
      </c>
      <c r="Q54">
        <v>0.79105714285714279</v>
      </c>
      <c r="R54">
        <v>0.79844285714285712</v>
      </c>
      <c r="S54">
        <v>0.82818571428571419</v>
      </c>
      <c r="T54">
        <v>0.83952857142857151</v>
      </c>
      <c r="U54">
        <v>0.8198714285714287</v>
      </c>
      <c r="V54">
        <v>0.83641428571428567</v>
      </c>
      <c r="W54">
        <v>0.84964285714285714</v>
      </c>
      <c r="X54">
        <v>0.82274285714285711</v>
      </c>
      <c r="Y54">
        <v>0.82734285714285716</v>
      </c>
      <c r="Z54">
        <v>0.78127142857142851</v>
      </c>
      <c r="AA54">
        <v>0.85157142857142865</v>
      </c>
      <c r="AB54">
        <v>0.80484285714285719</v>
      </c>
      <c r="AC54">
        <v>0.79144285714285723</v>
      </c>
      <c r="AD54">
        <v>0.79404285714285716</v>
      </c>
      <c r="AE54">
        <v>0.83002857142857145</v>
      </c>
      <c r="AF54">
        <v>0.84525714285714282</v>
      </c>
      <c r="AG54">
        <v>0.82402857142857144</v>
      </c>
      <c r="AH54">
        <v>0.8409428571428571</v>
      </c>
      <c r="AI54">
        <v>0.85031428571428569</v>
      </c>
      <c r="AJ54">
        <v>0.82157142857142851</v>
      </c>
      <c r="AK54">
        <v>0.82550000000000001</v>
      </c>
      <c r="AL54">
        <v>0.77714285714285702</v>
      </c>
      <c r="AM54">
        <v>0.84854285714285727</v>
      </c>
      <c r="AN54">
        <v>0.80067142857142859</v>
      </c>
      <c r="AO54">
        <v>0.78591428571428545</v>
      </c>
      <c r="AP54">
        <v>0.78848571428571435</v>
      </c>
      <c r="AQ54">
        <v>0.82682857142857136</v>
      </c>
      <c r="AR54">
        <v>0.84321428571428569</v>
      </c>
      <c r="AS54">
        <v>0.82181428571428583</v>
      </c>
      <c r="AT54">
        <v>0.84095714285714285</v>
      </c>
      <c r="AU54">
        <v>0.84902857142857158</v>
      </c>
      <c r="AV54">
        <v>0.81821428571428567</v>
      </c>
      <c r="AW54">
        <v>0.82168571428571435</v>
      </c>
      <c r="AX54">
        <v>0.77299999999999991</v>
      </c>
      <c r="AY54">
        <v>0.8348714285714286</v>
      </c>
      <c r="AZ54">
        <v>0.80305714285714291</v>
      </c>
      <c r="BA54">
        <v>0.77969999999999995</v>
      </c>
      <c r="BB54">
        <v>0.78381428571428569</v>
      </c>
      <c r="BC54">
        <v>0.82394285714285709</v>
      </c>
      <c r="BD54">
        <v>0.84117142857142857</v>
      </c>
      <c r="BE54">
        <v>0.81904285714285729</v>
      </c>
      <c r="BF54">
        <v>0.84037142857142855</v>
      </c>
      <c r="BG54">
        <v>0.84804285714285732</v>
      </c>
      <c r="BH54">
        <v>0.81577142857142848</v>
      </c>
      <c r="BI54">
        <v>0.81850000000000012</v>
      </c>
      <c r="BJ54">
        <v>0.76814285714285713</v>
      </c>
      <c r="BK54">
        <v>0.84065714285714288</v>
      </c>
      <c r="BL54">
        <v>0.79182857142857144</v>
      </c>
      <c r="BM54">
        <v>0.77397142857142853</v>
      </c>
      <c r="BN54">
        <v>0.77944285714285699</v>
      </c>
      <c r="BO54">
        <v>0.81954285714285713</v>
      </c>
      <c r="BP54">
        <v>0.83881428571428585</v>
      </c>
      <c r="BQ54">
        <v>0.81592857142857134</v>
      </c>
      <c r="BR54">
        <v>0.83917142857142857</v>
      </c>
      <c r="BS54">
        <v>0.8459000000000001</v>
      </c>
      <c r="BT54">
        <v>0.81102857142857143</v>
      </c>
      <c r="BU54">
        <v>0.81424285714285716</v>
      </c>
      <c r="BV54">
        <v>0.76534285714285721</v>
      </c>
      <c r="BW54">
        <v>0.83827142857142856</v>
      </c>
      <c r="BX54">
        <v>0.78860000000000008</v>
      </c>
      <c r="BY54">
        <v>0.76857142857142857</v>
      </c>
      <c r="BZ54">
        <v>0.77549999999999997</v>
      </c>
      <c r="CA54">
        <v>0.81552857142857138</v>
      </c>
      <c r="CB54">
        <v>0.83661428571428575</v>
      </c>
      <c r="CC54">
        <v>0.81328571428571428</v>
      </c>
      <c r="CD54">
        <v>0.83892857142857147</v>
      </c>
      <c r="CE54">
        <v>0.84472857142857161</v>
      </c>
      <c r="CF54">
        <v>0.80795714285714282</v>
      </c>
      <c r="CG54">
        <v>0.81135714285714289</v>
      </c>
      <c r="CH54">
        <v>0.76194285714285714</v>
      </c>
      <c r="CI54">
        <v>0.8352857142857143</v>
      </c>
      <c r="CJ54">
        <v>0.78508571428571439</v>
      </c>
      <c r="CK54">
        <v>0.7639285714285714</v>
      </c>
      <c r="CL54">
        <v>0.77179999999999993</v>
      </c>
      <c r="CM54">
        <v>0.81105714285714281</v>
      </c>
      <c r="CN54">
        <v>0.83295714285714306</v>
      </c>
      <c r="CO54">
        <v>0.80965714285714274</v>
      </c>
      <c r="CP54">
        <v>0.83814285714285719</v>
      </c>
      <c r="CQ54">
        <v>0.84370000000000012</v>
      </c>
      <c r="CR54">
        <v>0.80535714285714288</v>
      </c>
      <c r="CS54">
        <v>0.80871428571428583</v>
      </c>
      <c r="CT54">
        <v>0.7591714285714285</v>
      </c>
      <c r="CU54">
        <v>0.82011428571428557</v>
      </c>
      <c r="CV54">
        <v>0.78889999999999993</v>
      </c>
      <c r="CW54">
        <v>0.75945714285714294</v>
      </c>
      <c r="CX54">
        <v>0.76921428571428574</v>
      </c>
      <c r="CY54">
        <v>0.80582857142857145</v>
      </c>
      <c r="CZ54">
        <v>0.8285285714285715</v>
      </c>
      <c r="DA54">
        <v>0.80451428571428585</v>
      </c>
      <c r="DB54">
        <v>0.83732857142857142</v>
      </c>
      <c r="DC54">
        <v>0.84248571428571428</v>
      </c>
      <c r="DD54">
        <v>0.8031571428571429</v>
      </c>
      <c r="DE54">
        <v>0.80645714285714298</v>
      </c>
      <c r="DF54">
        <v>0.75872857142857142</v>
      </c>
      <c r="DG54">
        <v>0.83000000000000007</v>
      </c>
      <c r="DH54">
        <v>0.78077142857142867</v>
      </c>
      <c r="DI54">
        <v>0.75682857142857141</v>
      </c>
      <c r="DJ54">
        <v>0.76714285714285713</v>
      </c>
      <c r="DK54">
        <v>0.80097142857142856</v>
      </c>
      <c r="DL54">
        <v>0.82340000000000002</v>
      </c>
      <c r="DM54">
        <v>0.79972857142857134</v>
      </c>
      <c r="DN54">
        <v>0.83599999999999997</v>
      </c>
      <c r="DO54">
        <v>0.8407714285714285</v>
      </c>
      <c r="DP54">
        <v>0.80011428571428578</v>
      </c>
      <c r="DQ54">
        <v>0.80428571428571427</v>
      </c>
      <c r="DR54">
        <v>0.75695714285714288</v>
      </c>
      <c r="DS54">
        <v>0.82747142857142852</v>
      </c>
      <c r="DT54">
        <v>0.77867142857142846</v>
      </c>
      <c r="DU54">
        <v>0.75330000000000008</v>
      </c>
      <c r="DV54">
        <v>0.7649285714285714</v>
      </c>
      <c r="DW54">
        <v>0.79572857142857145</v>
      </c>
      <c r="DX54">
        <v>0.8158428571428572</v>
      </c>
      <c r="DY54">
        <v>0.79419999999999991</v>
      </c>
      <c r="DZ54">
        <v>0.8344571428571429</v>
      </c>
      <c r="EA54">
        <v>0.83865714285714277</v>
      </c>
      <c r="EB54">
        <v>0.79725714285714278</v>
      </c>
      <c r="EC54">
        <v>0.80177142857142858</v>
      </c>
      <c r="ED54">
        <v>0.75542857142857134</v>
      </c>
      <c r="EE54">
        <v>0.8248428571428571</v>
      </c>
      <c r="EF54">
        <v>0.77654285714285709</v>
      </c>
      <c r="EG54">
        <v>0.75011428571428573</v>
      </c>
      <c r="EH54">
        <v>0.76265714285714281</v>
      </c>
      <c r="EI54">
        <v>0.79075714285714305</v>
      </c>
      <c r="EJ54">
        <v>0.80865714285714285</v>
      </c>
      <c r="EK54">
        <v>0.78901428571428578</v>
      </c>
      <c r="EL54">
        <v>0.83248571428571427</v>
      </c>
      <c r="EM54">
        <v>0.83625714285714281</v>
      </c>
      <c r="EN54">
        <v>0.79470000000000007</v>
      </c>
      <c r="EO54">
        <v>0.79964285714285732</v>
      </c>
      <c r="EP54">
        <v>0.7535142857142858</v>
      </c>
      <c r="EQ54">
        <v>0.8046714285714287</v>
      </c>
      <c r="ER54">
        <v>0.78062857142857145</v>
      </c>
      <c r="ES54">
        <v>0.74675714285714279</v>
      </c>
      <c r="ET54">
        <v>0.7605857142857142</v>
      </c>
      <c r="EU54">
        <v>0.85780000000000012</v>
      </c>
      <c r="EV54">
        <v>0.79991428571428558</v>
      </c>
      <c r="EW54">
        <v>0.78468571428571432</v>
      </c>
      <c r="EX54">
        <v>0.83050000000000002</v>
      </c>
      <c r="EY54">
        <v>0.83397142857142847</v>
      </c>
      <c r="EZ54">
        <v>0.79267142857142858</v>
      </c>
      <c r="FA54">
        <v>0.79749999999999999</v>
      </c>
      <c r="FB54">
        <v>0.75257142857142856</v>
      </c>
      <c r="FC54">
        <v>0.81915714285714281</v>
      </c>
      <c r="FD54">
        <v>0.7725142857142856</v>
      </c>
      <c r="FE54">
        <v>0.74434285714285708</v>
      </c>
      <c r="FF54">
        <v>0.75851428571428581</v>
      </c>
      <c r="FG54">
        <v>0.78084285714285706</v>
      </c>
      <c r="FH54">
        <v>0.79139999999999999</v>
      </c>
      <c r="FI54">
        <v>0.77921428571428553</v>
      </c>
      <c r="FJ54">
        <v>0.82705714285714282</v>
      </c>
      <c r="FK54">
        <v>0.83071428571428574</v>
      </c>
      <c r="FL54">
        <v>0.78945714285714275</v>
      </c>
      <c r="FM54">
        <v>0.79530000000000001</v>
      </c>
      <c r="FN54">
        <v>0.74970000000000003</v>
      </c>
      <c r="FO54">
        <v>0.81650000000000011</v>
      </c>
      <c r="FP54">
        <v>0.76962857142857133</v>
      </c>
      <c r="FQ54">
        <v>0.74161428571428567</v>
      </c>
      <c r="FR54">
        <v>0.75659999999999994</v>
      </c>
      <c r="FS54">
        <v>0.77660000000000007</v>
      </c>
      <c r="FT54">
        <v>0.78368571428571432</v>
      </c>
      <c r="FU54">
        <v>0.77518571428571448</v>
      </c>
      <c r="FV54">
        <v>0.82351428571428564</v>
      </c>
      <c r="FW54">
        <v>0.82758571428571426</v>
      </c>
      <c r="FX54">
        <v>0.78648571428571423</v>
      </c>
      <c r="FY54">
        <v>0.79359999999999986</v>
      </c>
    </row>
    <row r="56" spans="1:181" x14ac:dyDescent="0.3">
      <c r="A56" t="s">
        <v>30</v>
      </c>
      <c r="B56">
        <v>1</v>
      </c>
      <c r="C56">
        <v>2</v>
      </c>
      <c r="D56">
        <v>3</v>
      </c>
      <c r="E56">
        <v>4</v>
      </c>
    </row>
    <row r="57" spans="1:181" x14ac:dyDescent="0.3">
      <c r="A57" s="1">
        <v>45292</v>
      </c>
      <c r="B57">
        <v>1.2999142857142856</v>
      </c>
      <c r="C57">
        <v>1.109157142857143</v>
      </c>
      <c r="D57">
        <v>0.97465714285714278</v>
      </c>
      <c r="E57">
        <v>0.79238571428571425</v>
      </c>
      <c r="H57" s="10" t="s">
        <v>25</v>
      </c>
      <c r="I57" t="s">
        <v>55</v>
      </c>
      <c r="J57" t="s">
        <v>56</v>
      </c>
      <c r="K57" t="s">
        <v>57</v>
      </c>
      <c r="L57" t="s">
        <v>58</v>
      </c>
    </row>
    <row r="58" spans="1:181" x14ac:dyDescent="0.3">
      <c r="A58" s="1">
        <v>45323</v>
      </c>
      <c r="B58">
        <v>1.3134857142857144</v>
      </c>
      <c r="C58">
        <v>1.098742857142857</v>
      </c>
      <c r="D58">
        <v>0.96370000000000011</v>
      </c>
      <c r="E58">
        <v>0.81738571428571427</v>
      </c>
      <c r="H58" s="11" t="s">
        <v>35</v>
      </c>
      <c r="I58" s="15">
        <v>1.3517428571428571</v>
      </c>
      <c r="J58" s="15">
        <v>1.1310130952380952</v>
      </c>
      <c r="K58" s="15">
        <v>0.96567142857142851</v>
      </c>
      <c r="L58" s="15">
        <v>0.82116904761904763</v>
      </c>
    </row>
    <row r="59" spans="1:181" x14ac:dyDescent="0.3">
      <c r="A59" s="1">
        <v>45352</v>
      </c>
      <c r="B59">
        <v>1.3382000000000001</v>
      </c>
      <c r="C59">
        <v>1.1235571428571429</v>
      </c>
      <c r="D59">
        <v>0.97319999999999995</v>
      </c>
      <c r="E59">
        <v>0.81455714285714287</v>
      </c>
      <c r="H59" s="11" t="s">
        <v>36</v>
      </c>
      <c r="I59" s="15">
        <v>1.3648119047619049</v>
      </c>
      <c r="J59" s="15">
        <v>1.133242857142857</v>
      </c>
      <c r="K59" s="15">
        <v>0.96316071428571426</v>
      </c>
      <c r="L59" s="15">
        <v>0.82067738095238107</v>
      </c>
    </row>
    <row r="60" spans="1:181" x14ac:dyDescent="0.3">
      <c r="A60" s="1">
        <v>45383</v>
      </c>
      <c r="B60">
        <v>1.3547428571428572</v>
      </c>
      <c r="C60">
        <v>1.1426714285714286</v>
      </c>
      <c r="D60">
        <v>0.95610000000000006</v>
      </c>
      <c r="E60">
        <v>0.80061428571428572</v>
      </c>
      <c r="H60" s="11" t="s">
        <v>37</v>
      </c>
      <c r="I60" s="15">
        <v>1.3713166666666667</v>
      </c>
      <c r="J60" s="15">
        <v>1.1345559523809523</v>
      </c>
      <c r="K60" s="15">
        <v>0.96259523809523817</v>
      </c>
      <c r="L60" s="15">
        <v>0.82173452380952383</v>
      </c>
    </row>
    <row r="61" spans="1:181" x14ac:dyDescent="0.3">
      <c r="A61" s="1">
        <v>45413</v>
      </c>
      <c r="B61">
        <v>1.4460571428571427</v>
      </c>
      <c r="C61">
        <v>1.1654714285714285</v>
      </c>
      <c r="D61">
        <v>0.96950000000000003</v>
      </c>
      <c r="E61">
        <v>0.81702857142857133</v>
      </c>
      <c r="H61" s="11" t="s">
        <v>38</v>
      </c>
      <c r="I61" s="15">
        <v>1.3752976190476189</v>
      </c>
      <c r="J61" s="15">
        <v>1.1365130952380953</v>
      </c>
      <c r="K61" s="15">
        <v>0.96172619047619046</v>
      </c>
      <c r="L61" s="15">
        <v>0.8185416666666665</v>
      </c>
    </row>
    <row r="62" spans="1:181" x14ac:dyDescent="0.3">
      <c r="A62" s="1">
        <v>45444</v>
      </c>
      <c r="B62">
        <v>1.3947714285714283</v>
      </c>
      <c r="C62">
        <v>1.1448285714285713</v>
      </c>
      <c r="D62">
        <v>0.9598000000000001</v>
      </c>
      <c r="E62">
        <v>0.82702857142857145</v>
      </c>
      <c r="H62" s="11" t="s">
        <v>39</v>
      </c>
      <c r="I62" s="15">
        <v>1.3775416666666667</v>
      </c>
      <c r="J62" s="15">
        <v>1.1378619047619047</v>
      </c>
      <c r="K62" s="15">
        <v>0.9606083333333334</v>
      </c>
      <c r="L62" s="15">
        <v>0.81510714285714281</v>
      </c>
    </row>
    <row r="63" spans="1:181" x14ac:dyDescent="0.3">
      <c r="A63" s="1">
        <v>45474</v>
      </c>
      <c r="B63">
        <v>1.3970714285714287</v>
      </c>
      <c r="C63">
        <v>1.1429000000000002</v>
      </c>
      <c r="D63">
        <v>0.96004285714285698</v>
      </c>
      <c r="E63">
        <v>0.83178571428571424</v>
      </c>
      <c r="H63" s="11" t="s">
        <v>40</v>
      </c>
      <c r="I63" s="15">
        <v>1.3810035714285716</v>
      </c>
      <c r="J63" s="15">
        <v>1.1398190476190477</v>
      </c>
      <c r="K63" s="15">
        <v>0.95990595238095244</v>
      </c>
      <c r="L63" s="15">
        <v>0.81155595238095224</v>
      </c>
    </row>
    <row r="64" spans="1:181" x14ac:dyDescent="0.3">
      <c r="A64" s="1">
        <v>45505</v>
      </c>
      <c r="B64">
        <v>1.3382857142857143</v>
      </c>
      <c r="C64">
        <v>1.1484000000000001</v>
      </c>
      <c r="D64">
        <v>0.95834285714285716</v>
      </c>
      <c r="E64">
        <v>0.81592857142857145</v>
      </c>
      <c r="H64" s="11" t="s">
        <v>41</v>
      </c>
      <c r="I64" s="15">
        <v>1.3823535714285713</v>
      </c>
      <c r="J64" s="15">
        <v>1.1411630952380953</v>
      </c>
      <c r="K64" s="15">
        <v>0.95915238095238087</v>
      </c>
      <c r="L64" s="15">
        <v>0.80872380952380951</v>
      </c>
    </row>
    <row r="65" spans="1:12" x14ac:dyDescent="0.3">
      <c r="A65" s="1">
        <v>45536</v>
      </c>
      <c r="B65">
        <v>1.2671142857142859</v>
      </c>
      <c r="C65">
        <v>1.1269714285714285</v>
      </c>
      <c r="D65">
        <v>0.96742857142857142</v>
      </c>
      <c r="E65">
        <v>0.83239999999999992</v>
      </c>
      <c r="H65" s="11" t="s">
        <v>42</v>
      </c>
      <c r="I65" s="15">
        <v>1.3831476190476188</v>
      </c>
      <c r="J65" s="15">
        <v>1.1423059523809522</v>
      </c>
      <c r="K65" s="15">
        <v>0.95836428571428567</v>
      </c>
      <c r="L65" s="15">
        <v>0.80563571428571457</v>
      </c>
    </row>
    <row r="66" spans="1:12" x14ac:dyDescent="0.3">
      <c r="A66" s="1">
        <v>45566</v>
      </c>
      <c r="B66">
        <v>1.3326714285714287</v>
      </c>
      <c r="C66">
        <v>1.1195285714285714</v>
      </c>
      <c r="D66">
        <v>0.96322857142857132</v>
      </c>
      <c r="E66">
        <v>0.8509714285714286</v>
      </c>
      <c r="H66" s="11" t="s">
        <v>43</v>
      </c>
      <c r="I66" s="15">
        <v>1.3826880952380953</v>
      </c>
      <c r="J66" s="15">
        <v>1.1428523809523807</v>
      </c>
      <c r="K66" s="15">
        <v>0.95711666666666673</v>
      </c>
      <c r="L66" s="15">
        <v>0.80209642857142871</v>
      </c>
    </row>
    <row r="67" spans="1:12" x14ac:dyDescent="0.3">
      <c r="A67" s="1">
        <v>45597</v>
      </c>
      <c r="B67">
        <v>1.3918142857142857</v>
      </c>
      <c r="C67">
        <v>1.1201285714285714</v>
      </c>
      <c r="D67">
        <v>0.96640000000000004</v>
      </c>
      <c r="E67">
        <v>0.82431428571428567</v>
      </c>
      <c r="H67" s="11" t="s">
        <v>44</v>
      </c>
      <c r="I67" s="15">
        <v>1.3818869047619049</v>
      </c>
      <c r="J67" s="15">
        <v>1.1433904761904763</v>
      </c>
      <c r="K67" s="15">
        <v>0.95689880952380957</v>
      </c>
      <c r="L67" s="15">
        <v>0.79989523809523833</v>
      </c>
    </row>
    <row r="68" spans="1:12" x14ac:dyDescent="0.3">
      <c r="A68" s="1">
        <v>45627</v>
      </c>
      <c r="B68">
        <v>1.3467857142857143</v>
      </c>
      <c r="C68">
        <v>1.1297999999999999</v>
      </c>
      <c r="D68">
        <v>0.97565714285714289</v>
      </c>
      <c r="E68">
        <v>0.8296285714285716</v>
      </c>
      <c r="H68" s="11" t="s">
        <v>45</v>
      </c>
      <c r="I68" s="15">
        <v>1.3808773809523809</v>
      </c>
      <c r="J68" s="15">
        <v>1.1440238095238093</v>
      </c>
      <c r="K68" s="15">
        <v>0.95619166666666666</v>
      </c>
      <c r="L68" s="15">
        <v>0.7966035714285713</v>
      </c>
    </row>
    <row r="69" spans="1:12" x14ac:dyDescent="0.3">
      <c r="A69" s="1">
        <v>45658</v>
      </c>
      <c r="B69">
        <v>1.316057142857143</v>
      </c>
      <c r="C69">
        <v>1.1074857142857142</v>
      </c>
      <c r="D69">
        <v>0.97315714285714294</v>
      </c>
      <c r="E69">
        <v>0.78572857142857144</v>
      </c>
      <c r="H69" s="11" t="s">
        <v>46</v>
      </c>
      <c r="I69" s="15">
        <v>1.3795154761904762</v>
      </c>
      <c r="J69" s="15">
        <v>1.1447571428571428</v>
      </c>
      <c r="K69" s="15">
        <v>0.95551547619047605</v>
      </c>
      <c r="L69" s="15">
        <v>0.79342500000000005</v>
      </c>
    </row>
    <row r="70" spans="1:12" x14ac:dyDescent="0.3">
      <c r="A70" s="1">
        <v>45689</v>
      </c>
      <c r="B70">
        <v>1.3247</v>
      </c>
      <c r="C70">
        <v>1.098257142857143</v>
      </c>
      <c r="D70">
        <v>0.9717285714285715</v>
      </c>
      <c r="E70">
        <v>0.84484285714285712</v>
      </c>
      <c r="H70" s="11" t="s">
        <v>47</v>
      </c>
      <c r="I70" s="15">
        <v>1.3773190476190476</v>
      </c>
      <c r="J70" s="15">
        <v>1.1488857142857143</v>
      </c>
      <c r="K70" s="15">
        <v>0.95944166666666664</v>
      </c>
      <c r="L70" s="15">
        <v>0.79526666666666657</v>
      </c>
    </row>
    <row r="71" spans="1:12" x14ac:dyDescent="0.3">
      <c r="A71" s="1">
        <v>45717</v>
      </c>
      <c r="B71">
        <v>1.3659999999999999</v>
      </c>
      <c r="C71">
        <v>1.1303000000000001</v>
      </c>
      <c r="D71">
        <v>0.96729999999999994</v>
      </c>
      <c r="E71">
        <v>0.80432857142857139</v>
      </c>
      <c r="H71" s="11" t="s">
        <v>48</v>
      </c>
      <c r="I71" s="15">
        <v>1.3762702380952383</v>
      </c>
      <c r="J71" s="15">
        <v>1.1461416666666666</v>
      </c>
      <c r="K71" s="15">
        <v>0.95423095238095235</v>
      </c>
      <c r="L71" s="15">
        <v>0.78675714285714282</v>
      </c>
    </row>
    <row r="72" spans="1:12" x14ac:dyDescent="0.3">
      <c r="A72" s="1">
        <v>45748</v>
      </c>
      <c r="B72">
        <v>1.3711714285714287</v>
      </c>
      <c r="C72">
        <v>1.1443857142857143</v>
      </c>
      <c r="D72">
        <v>0.95128571428571429</v>
      </c>
      <c r="E72">
        <v>0.79105714285714279</v>
      </c>
      <c r="H72" s="11" t="s">
        <v>49</v>
      </c>
      <c r="I72" s="15">
        <v>1.3746654761904764</v>
      </c>
      <c r="J72" s="15">
        <v>1.1470392857142857</v>
      </c>
      <c r="K72" s="15">
        <v>0.95360238095238092</v>
      </c>
      <c r="L72" s="15">
        <v>0.78339166666666671</v>
      </c>
    </row>
    <row r="73" spans="1:12" x14ac:dyDescent="0.3">
      <c r="A73" s="1">
        <v>45778</v>
      </c>
      <c r="B73">
        <v>1.4614142857142856</v>
      </c>
      <c r="C73">
        <v>1.1639428571428572</v>
      </c>
      <c r="D73">
        <v>0.95069999999999999</v>
      </c>
      <c r="E73">
        <v>0.79844285714285712</v>
      </c>
      <c r="H73" s="11" t="s">
        <v>24</v>
      </c>
      <c r="I73">
        <v>1.3760292063492063</v>
      </c>
      <c r="J73">
        <v>1.1409043650793651</v>
      </c>
      <c r="K73">
        <v>0.95894547619047588</v>
      </c>
      <c r="L73">
        <v>0.80537206349206358</v>
      </c>
    </row>
    <row r="74" spans="1:12" x14ac:dyDescent="0.3">
      <c r="A74" s="1">
        <v>45809</v>
      </c>
      <c r="B74">
        <v>1.4074428571428572</v>
      </c>
      <c r="C74">
        <v>1.1479571428571429</v>
      </c>
      <c r="D74">
        <v>0.95761428571428575</v>
      </c>
      <c r="E74">
        <v>0.82818571428571419</v>
      </c>
    </row>
    <row r="75" spans="1:12" x14ac:dyDescent="0.3">
      <c r="A75" s="1">
        <v>45839</v>
      </c>
      <c r="B75">
        <v>1.4097999999999999</v>
      </c>
      <c r="C75">
        <v>1.1472714285714285</v>
      </c>
      <c r="D75">
        <v>0.95890000000000009</v>
      </c>
      <c r="E75">
        <v>0.83952857142857151</v>
      </c>
    </row>
    <row r="76" spans="1:12" x14ac:dyDescent="0.3">
      <c r="A76" s="1">
        <v>45870</v>
      </c>
      <c r="B76">
        <v>1.3485142857142858</v>
      </c>
      <c r="C76">
        <v>1.1536714285714285</v>
      </c>
      <c r="D76">
        <v>0.95705714285714283</v>
      </c>
      <c r="E76">
        <v>0.8198714285714287</v>
      </c>
    </row>
    <row r="77" spans="1:12" x14ac:dyDescent="0.3">
      <c r="A77" s="1">
        <v>45901</v>
      </c>
      <c r="B77">
        <v>1.2737428571428571</v>
      </c>
      <c r="C77">
        <v>1.1308714285714285</v>
      </c>
      <c r="D77">
        <v>0.96817142857142868</v>
      </c>
      <c r="E77">
        <v>0.83641428571428567</v>
      </c>
    </row>
    <row r="78" spans="1:12" x14ac:dyDescent="0.3">
      <c r="A78" s="1">
        <v>45931</v>
      </c>
      <c r="B78">
        <v>1.3422714285714286</v>
      </c>
      <c r="C78">
        <v>1.1222142857142856</v>
      </c>
      <c r="D78">
        <v>0.9615999999999999</v>
      </c>
      <c r="E78">
        <v>0.84964285714285714</v>
      </c>
    </row>
    <row r="79" spans="1:12" x14ac:dyDescent="0.3">
      <c r="A79" s="1">
        <v>45962</v>
      </c>
      <c r="B79">
        <v>1.4019428571428574</v>
      </c>
      <c r="C79">
        <v>1.1217428571428572</v>
      </c>
      <c r="D79">
        <v>0.96551428571428566</v>
      </c>
      <c r="E79">
        <v>0.82274285714285711</v>
      </c>
    </row>
    <row r="80" spans="1:12" x14ac:dyDescent="0.3">
      <c r="A80" s="1">
        <v>45992</v>
      </c>
      <c r="B80">
        <v>1.3546857142857143</v>
      </c>
      <c r="C80">
        <v>1.1308142857142855</v>
      </c>
      <c r="D80">
        <v>0.9749000000000001</v>
      </c>
      <c r="E80">
        <v>0.82734285714285716</v>
      </c>
    </row>
    <row r="81" spans="1:5" x14ac:dyDescent="0.3">
      <c r="A81" s="1">
        <v>46023</v>
      </c>
      <c r="B81">
        <v>1.3243714285714285</v>
      </c>
      <c r="C81">
        <v>1.1064428571428571</v>
      </c>
      <c r="D81">
        <v>0.97141428571428567</v>
      </c>
      <c r="E81">
        <v>0.78127142857142851</v>
      </c>
    </row>
    <row r="82" spans="1:5" x14ac:dyDescent="0.3">
      <c r="A82" s="1">
        <v>46054</v>
      </c>
      <c r="B82">
        <v>1.3328285714285715</v>
      </c>
      <c r="C82">
        <v>1.1004428571428571</v>
      </c>
      <c r="D82">
        <v>0.97344285714285694</v>
      </c>
      <c r="E82">
        <v>0.85157142857142865</v>
      </c>
    </row>
    <row r="83" spans="1:5" x14ac:dyDescent="0.3">
      <c r="A83" s="1">
        <v>46082</v>
      </c>
      <c r="B83">
        <v>1.3745571428571428</v>
      </c>
      <c r="C83">
        <v>1.1307142857142856</v>
      </c>
      <c r="D83">
        <v>0.9665285714285714</v>
      </c>
      <c r="E83">
        <v>0.80484285714285719</v>
      </c>
    </row>
    <row r="84" spans="1:5" x14ac:dyDescent="0.3">
      <c r="A84" s="1">
        <v>46113</v>
      </c>
      <c r="B84">
        <v>1.3791285714285715</v>
      </c>
      <c r="C84">
        <v>1.1456857142857142</v>
      </c>
      <c r="D84">
        <v>0.95032857142857152</v>
      </c>
      <c r="E84">
        <v>0.79144285714285723</v>
      </c>
    </row>
    <row r="85" spans="1:5" x14ac:dyDescent="0.3">
      <c r="A85" s="1">
        <v>46143</v>
      </c>
      <c r="B85">
        <v>1.4671428571428571</v>
      </c>
      <c r="C85">
        <v>1.1646285714285713</v>
      </c>
      <c r="D85">
        <v>0.94707142857142845</v>
      </c>
      <c r="E85">
        <v>0.79404285714285716</v>
      </c>
    </row>
    <row r="86" spans="1:5" x14ac:dyDescent="0.3">
      <c r="A86" s="1">
        <v>46174</v>
      </c>
      <c r="B86">
        <v>1.4132714285714285</v>
      </c>
      <c r="C86">
        <v>1.1500571428571431</v>
      </c>
      <c r="D86">
        <v>0.9571428571428573</v>
      </c>
      <c r="E86">
        <v>0.83002857142857145</v>
      </c>
    </row>
    <row r="87" spans="1:5" x14ac:dyDescent="0.3">
      <c r="A87" s="1">
        <v>46204</v>
      </c>
      <c r="B87">
        <v>1.4166000000000001</v>
      </c>
      <c r="C87">
        <v>1.1496142857142857</v>
      </c>
      <c r="D87">
        <v>0.95949999999999991</v>
      </c>
      <c r="E87">
        <v>0.84525714285714282</v>
      </c>
    </row>
    <row r="88" spans="1:5" x14ac:dyDescent="0.3">
      <c r="A88" s="1">
        <v>46235</v>
      </c>
      <c r="B88">
        <v>1.3543714285714283</v>
      </c>
      <c r="C88">
        <v>1.1555285714285717</v>
      </c>
      <c r="D88">
        <v>0.95701428571428582</v>
      </c>
      <c r="E88">
        <v>0.82402857142857144</v>
      </c>
    </row>
    <row r="89" spans="1:5" x14ac:dyDescent="0.3">
      <c r="A89" s="1">
        <v>46266</v>
      </c>
      <c r="B89">
        <v>1.2785571428571427</v>
      </c>
      <c r="C89">
        <v>1.1325857142857143</v>
      </c>
      <c r="D89">
        <v>0.96925714285714282</v>
      </c>
      <c r="E89">
        <v>0.8409428571428571</v>
      </c>
    </row>
    <row r="90" spans="1:5" x14ac:dyDescent="0.3">
      <c r="A90" s="1">
        <v>46296</v>
      </c>
      <c r="B90">
        <v>1.3480142857142856</v>
      </c>
      <c r="C90">
        <v>1.1234</v>
      </c>
      <c r="D90">
        <v>0.96081428571428573</v>
      </c>
      <c r="E90">
        <v>0.85031428571428569</v>
      </c>
    </row>
    <row r="91" spans="1:5" x14ac:dyDescent="0.3">
      <c r="A91" s="1">
        <v>46327</v>
      </c>
      <c r="B91">
        <v>1.407057142857143</v>
      </c>
      <c r="C91">
        <v>1.1232714285714285</v>
      </c>
      <c r="D91">
        <v>0.96454285714285715</v>
      </c>
      <c r="E91">
        <v>0.82157142857142851</v>
      </c>
    </row>
    <row r="92" spans="1:5" x14ac:dyDescent="0.3">
      <c r="A92" s="1">
        <v>46357</v>
      </c>
      <c r="B92">
        <v>1.3598999999999999</v>
      </c>
      <c r="C92">
        <v>1.1323000000000001</v>
      </c>
      <c r="D92">
        <v>0.97408571428571433</v>
      </c>
      <c r="E92">
        <v>0.82550000000000001</v>
      </c>
    </row>
    <row r="93" spans="1:5" x14ac:dyDescent="0.3">
      <c r="A93" s="1">
        <v>46388</v>
      </c>
      <c r="B93">
        <v>1.3285</v>
      </c>
      <c r="C93">
        <v>1.1079571428571426</v>
      </c>
      <c r="D93">
        <v>0.97044285714285716</v>
      </c>
      <c r="E93">
        <v>0.77714285714285702</v>
      </c>
    </row>
    <row r="94" spans="1:5" x14ac:dyDescent="0.3">
      <c r="A94" s="1">
        <v>46419</v>
      </c>
      <c r="B94">
        <v>1.3354142857142857</v>
      </c>
      <c r="C94">
        <v>1.1035428571428572</v>
      </c>
      <c r="D94">
        <v>0.97350000000000014</v>
      </c>
      <c r="E94">
        <v>0.84854285714285727</v>
      </c>
    </row>
    <row r="95" spans="1:5" x14ac:dyDescent="0.3">
      <c r="A95" s="1">
        <v>46447</v>
      </c>
      <c r="B95">
        <v>1.377114285714286</v>
      </c>
      <c r="C95">
        <v>1.1331714285714285</v>
      </c>
      <c r="D95">
        <v>0.96568571428571437</v>
      </c>
      <c r="E95">
        <v>0.80067142857142859</v>
      </c>
    </row>
    <row r="96" spans="1:5" x14ac:dyDescent="0.3">
      <c r="A96" s="1">
        <v>46478</v>
      </c>
      <c r="B96">
        <v>1.3820714285714284</v>
      </c>
      <c r="C96">
        <v>1.1481285714285714</v>
      </c>
      <c r="D96">
        <v>0.94872857142857137</v>
      </c>
      <c r="E96">
        <v>0.78591428571428545</v>
      </c>
    </row>
    <row r="97" spans="1:5" x14ac:dyDescent="0.3">
      <c r="A97" s="1">
        <v>46508</v>
      </c>
      <c r="B97">
        <v>1.4700571428571425</v>
      </c>
      <c r="C97">
        <v>1.1664714285714286</v>
      </c>
      <c r="D97">
        <v>0.94485714285714273</v>
      </c>
      <c r="E97">
        <v>0.78848571428571435</v>
      </c>
    </row>
    <row r="98" spans="1:5" x14ac:dyDescent="0.3">
      <c r="A98" s="1">
        <v>46539</v>
      </c>
      <c r="B98">
        <v>1.4178714285714287</v>
      </c>
      <c r="C98">
        <v>1.1520428571428571</v>
      </c>
      <c r="D98">
        <v>0.95638571428571428</v>
      </c>
      <c r="E98">
        <v>0.82682857142857136</v>
      </c>
    </row>
    <row r="99" spans="1:5" x14ac:dyDescent="0.3">
      <c r="A99" s="1">
        <v>46569</v>
      </c>
      <c r="B99">
        <v>1.4221857142857142</v>
      </c>
      <c r="C99">
        <v>1.1507714285714286</v>
      </c>
      <c r="D99">
        <v>0.95899999999999985</v>
      </c>
      <c r="E99">
        <v>0.84321428571428569</v>
      </c>
    </row>
    <row r="100" spans="1:5" x14ac:dyDescent="0.3">
      <c r="A100" s="1">
        <v>46600</v>
      </c>
      <c r="B100">
        <v>1.3604857142857143</v>
      </c>
      <c r="C100">
        <v>1.156914285714286</v>
      </c>
      <c r="D100">
        <v>0.95637142857142865</v>
      </c>
      <c r="E100">
        <v>0.82181428571428583</v>
      </c>
    </row>
    <row r="101" spans="1:5" x14ac:dyDescent="0.3">
      <c r="A101" s="1">
        <v>46631</v>
      </c>
      <c r="B101">
        <v>1.2844142857142857</v>
      </c>
      <c r="C101">
        <v>1.1340142857142859</v>
      </c>
      <c r="D101">
        <v>0.96950000000000003</v>
      </c>
      <c r="E101">
        <v>0.84095714285714285</v>
      </c>
    </row>
    <row r="102" spans="1:5" x14ac:dyDescent="0.3">
      <c r="A102" s="1">
        <v>46661</v>
      </c>
      <c r="B102">
        <v>1.3527285714285711</v>
      </c>
      <c r="C102">
        <v>1.1248857142857143</v>
      </c>
      <c r="D102">
        <v>0.96008571428571432</v>
      </c>
      <c r="E102">
        <v>0.84902857142857158</v>
      </c>
    </row>
    <row r="103" spans="1:5" x14ac:dyDescent="0.3">
      <c r="A103" s="1">
        <v>46692</v>
      </c>
      <c r="B103">
        <v>1.4099571428571427</v>
      </c>
      <c r="C103">
        <v>1.1256714285714284</v>
      </c>
      <c r="D103">
        <v>0.96312857142857133</v>
      </c>
      <c r="E103">
        <v>0.81821428571428567</v>
      </c>
    </row>
    <row r="104" spans="1:5" x14ac:dyDescent="0.3">
      <c r="A104" s="1">
        <v>46722</v>
      </c>
      <c r="B104">
        <v>1.3627714285714287</v>
      </c>
      <c r="C104">
        <v>1.1345857142857141</v>
      </c>
      <c r="D104">
        <v>0.97302857142857135</v>
      </c>
      <c r="E104">
        <v>0.82168571428571435</v>
      </c>
    </row>
    <row r="105" spans="1:5" x14ac:dyDescent="0.3">
      <c r="A105" s="1">
        <v>46753</v>
      </c>
      <c r="B105">
        <v>1.3333285714285714</v>
      </c>
      <c r="C105">
        <v>1.1094285714285717</v>
      </c>
      <c r="D105">
        <v>0.96912857142857134</v>
      </c>
      <c r="E105">
        <v>0.77299999999999991</v>
      </c>
    </row>
    <row r="106" spans="1:5" x14ac:dyDescent="0.3">
      <c r="A106" s="1">
        <v>46784</v>
      </c>
      <c r="B106">
        <v>1.3418142857142856</v>
      </c>
      <c r="C106">
        <v>1.1104000000000001</v>
      </c>
      <c r="D106">
        <v>0.96729999999999994</v>
      </c>
      <c r="E106">
        <v>0.8348714285714286</v>
      </c>
    </row>
    <row r="107" spans="1:5" x14ac:dyDescent="0.3">
      <c r="A107" s="1">
        <v>46813</v>
      </c>
      <c r="B107">
        <v>1.3697428571428572</v>
      </c>
      <c r="C107">
        <v>1.1292714285714285</v>
      </c>
      <c r="D107">
        <v>0.9676285714285715</v>
      </c>
      <c r="E107">
        <v>0.80305714285714291</v>
      </c>
    </row>
    <row r="108" spans="1:5" x14ac:dyDescent="0.3">
      <c r="A108" s="1">
        <v>46844</v>
      </c>
      <c r="B108">
        <v>1.3828142857142858</v>
      </c>
      <c r="C108">
        <v>1.1501714285714286</v>
      </c>
      <c r="D108">
        <v>0.94720000000000015</v>
      </c>
      <c r="E108">
        <v>0.77969999999999995</v>
      </c>
    </row>
    <row r="109" spans="1:5" x14ac:dyDescent="0.3">
      <c r="A109" s="1">
        <v>46874</v>
      </c>
      <c r="B109">
        <v>1.4706571428571429</v>
      </c>
      <c r="C109">
        <v>1.1678285714285714</v>
      </c>
      <c r="D109">
        <v>0.94321428571428567</v>
      </c>
      <c r="E109">
        <v>0.78381428571428569</v>
      </c>
    </row>
    <row r="110" spans="1:5" x14ac:dyDescent="0.3">
      <c r="A110" s="1">
        <v>46905</v>
      </c>
      <c r="B110">
        <v>1.4209285714285713</v>
      </c>
      <c r="C110">
        <v>1.153385714285714</v>
      </c>
      <c r="D110">
        <v>0.95562857142857138</v>
      </c>
      <c r="E110">
        <v>0.82394285714285709</v>
      </c>
    </row>
    <row r="111" spans="1:5" x14ac:dyDescent="0.3">
      <c r="A111" s="1">
        <v>46935</v>
      </c>
      <c r="B111">
        <v>1.4264999999999997</v>
      </c>
      <c r="C111">
        <v>1.1516714285714287</v>
      </c>
      <c r="D111">
        <v>0.95855714285714277</v>
      </c>
      <c r="E111">
        <v>0.84117142857142857</v>
      </c>
    </row>
    <row r="112" spans="1:5" x14ac:dyDescent="0.3">
      <c r="A112" s="1">
        <v>46966</v>
      </c>
      <c r="B112">
        <v>1.365142857142857</v>
      </c>
      <c r="C112">
        <v>1.1575714285714285</v>
      </c>
      <c r="D112">
        <v>0.95577142857142849</v>
      </c>
      <c r="E112">
        <v>0.81904285714285729</v>
      </c>
    </row>
    <row r="113" spans="1:5" x14ac:dyDescent="0.3">
      <c r="A113" s="1">
        <v>46997</v>
      </c>
      <c r="B113">
        <v>1.2891857142857144</v>
      </c>
      <c r="C113">
        <v>1.1347285714285713</v>
      </c>
      <c r="D113">
        <v>0.96950000000000003</v>
      </c>
      <c r="E113">
        <v>0.84037142857142855</v>
      </c>
    </row>
    <row r="114" spans="1:5" x14ac:dyDescent="0.3">
      <c r="A114" s="1">
        <v>47027</v>
      </c>
      <c r="B114">
        <v>1.3556000000000001</v>
      </c>
      <c r="C114">
        <v>1.1258428571428571</v>
      </c>
      <c r="D114">
        <v>0.95939999999999992</v>
      </c>
      <c r="E114">
        <v>0.84804285714285732</v>
      </c>
    </row>
    <row r="115" spans="1:5" x14ac:dyDescent="0.3">
      <c r="A115" s="1">
        <v>47058</v>
      </c>
      <c r="B115">
        <v>1.4106428571428573</v>
      </c>
      <c r="C115">
        <v>1.1273714285714285</v>
      </c>
      <c r="D115">
        <v>0.96191428571428583</v>
      </c>
      <c r="E115">
        <v>0.81577142857142848</v>
      </c>
    </row>
    <row r="116" spans="1:5" x14ac:dyDescent="0.3">
      <c r="A116" s="1">
        <v>47088</v>
      </c>
      <c r="B116">
        <v>1.3641428571428571</v>
      </c>
      <c r="C116">
        <v>1.1366714285714286</v>
      </c>
      <c r="D116">
        <v>0.97205714285714273</v>
      </c>
      <c r="E116">
        <v>0.81850000000000012</v>
      </c>
    </row>
    <row r="117" spans="1:5" x14ac:dyDescent="0.3">
      <c r="A117" s="1">
        <v>47119</v>
      </c>
      <c r="B117">
        <v>1.3335285714285714</v>
      </c>
      <c r="C117">
        <v>1.1116285714285714</v>
      </c>
      <c r="D117">
        <v>0.96761428571428587</v>
      </c>
      <c r="E117">
        <v>0.76814285714285713</v>
      </c>
    </row>
    <row r="118" spans="1:5" x14ac:dyDescent="0.3">
      <c r="A118" s="1">
        <v>47150</v>
      </c>
      <c r="B118">
        <v>1.3356571428571427</v>
      </c>
      <c r="C118">
        <v>1.1084714285714286</v>
      </c>
      <c r="D118">
        <v>0.97320000000000007</v>
      </c>
      <c r="E118">
        <v>0.84065714285714288</v>
      </c>
    </row>
    <row r="119" spans="1:5" x14ac:dyDescent="0.3">
      <c r="A119" s="1">
        <v>47178</v>
      </c>
      <c r="B119">
        <v>1.3767285714285715</v>
      </c>
      <c r="C119">
        <v>1.137342857142857</v>
      </c>
      <c r="D119">
        <v>0.96419999999999995</v>
      </c>
      <c r="E119">
        <v>0.79182857142857144</v>
      </c>
    </row>
    <row r="120" spans="1:5" x14ac:dyDescent="0.3">
      <c r="A120" s="1">
        <v>47209</v>
      </c>
      <c r="B120">
        <v>1.3825428571428573</v>
      </c>
      <c r="C120">
        <v>1.1521142857142856</v>
      </c>
      <c r="D120">
        <v>0.94578571428571423</v>
      </c>
      <c r="E120">
        <v>0.77397142857142853</v>
      </c>
    </row>
    <row r="121" spans="1:5" x14ac:dyDescent="0.3">
      <c r="A121" s="1">
        <v>47239</v>
      </c>
      <c r="B121">
        <v>1.4707142857142856</v>
      </c>
      <c r="C121">
        <v>1.1696285714285715</v>
      </c>
      <c r="D121">
        <v>0.94162857142857148</v>
      </c>
      <c r="E121">
        <v>0.77944285714285699</v>
      </c>
    </row>
    <row r="122" spans="1:5" x14ac:dyDescent="0.3">
      <c r="A122" s="1">
        <v>47270</v>
      </c>
      <c r="B122">
        <v>1.4265142857142858</v>
      </c>
      <c r="C122">
        <v>1.1553142857142855</v>
      </c>
      <c r="D122">
        <v>0.9546</v>
      </c>
      <c r="E122">
        <v>0.81954285714285713</v>
      </c>
    </row>
    <row r="123" spans="1:5" x14ac:dyDescent="0.3">
      <c r="A123" s="1">
        <v>47300</v>
      </c>
      <c r="B123">
        <v>1.4344999999999999</v>
      </c>
      <c r="C123">
        <v>1.1526714285714286</v>
      </c>
      <c r="D123">
        <v>0.95795714285714273</v>
      </c>
      <c r="E123">
        <v>0.83881428571428585</v>
      </c>
    </row>
    <row r="124" spans="1:5" x14ac:dyDescent="0.3">
      <c r="A124" s="1">
        <v>47331</v>
      </c>
      <c r="B124">
        <v>1.3747</v>
      </c>
      <c r="C124">
        <v>1.1580714285714286</v>
      </c>
      <c r="D124">
        <v>0.95504285714285708</v>
      </c>
      <c r="E124">
        <v>0.81592857142857134</v>
      </c>
    </row>
    <row r="125" spans="1:5" x14ac:dyDescent="0.3">
      <c r="A125" s="1">
        <v>47362</v>
      </c>
      <c r="B125">
        <v>1.296442857142857</v>
      </c>
      <c r="C125">
        <v>1.135542857142857</v>
      </c>
      <c r="D125">
        <v>0.96925714285714293</v>
      </c>
      <c r="E125">
        <v>0.83917142857142857</v>
      </c>
    </row>
    <row r="126" spans="1:5" x14ac:dyDescent="0.3">
      <c r="A126" s="1">
        <v>47392</v>
      </c>
      <c r="B126">
        <v>1.3614571428571429</v>
      </c>
      <c r="C126">
        <v>1.1274571428571429</v>
      </c>
      <c r="D126">
        <v>0.95849999999999991</v>
      </c>
      <c r="E126">
        <v>0.8459000000000001</v>
      </c>
    </row>
    <row r="127" spans="1:5" x14ac:dyDescent="0.3">
      <c r="A127" s="1">
        <v>47423</v>
      </c>
      <c r="B127">
        <v>1.4131571428571428</v>
      </c>
      <c r="C127">
        <v>1.1302857142857143</v>
      </c>
      <c r="D127">
        <v>0.96010000000000006</v>
      </c>
      <c r="E127">
        <v>0.81102857142857143</v>
      </c>
    </row>
    <row r="128" spans="1:5" x14ac:dyDescent="0.3">
      <c r="A128" s="1">
        <v>47453</v>
      </c>
      <c r="B128">
        <v>1.3660999999999999</v>
      </c>
      <c r="C128">
        <v>1.1393</v>
      </c>
      <c r="D128">
        <v>0.97098571428571423</v>
      </c>
      <c r="E128">
        <v>0.81424285714285716</v>
      </c>
    </row>
    <row r="129" spans="1:5" x14ac:dyDescent="0.3">
      <c r="A129" s="1">
        <v>47484</v>
      </c>
      <c r="B129">
        <v>1.3338285714285714</v>
      </c>
      <c r="C129">
        <v>1.1129857142857142</v>
      </c>
      <c r="D129">
        <v>0.9668714285714286</v>
      </c>
      <c r="E129">
        <v>0.76534285714285721</v>
      </c>
    </row>
    <row r="130" spans="1:5" x14ac:dyDescent="0.3">
      <c r="A130" s="1">
        <v>47515</v>
      </c>
      <c r="B130">
        <v>1.3350000000000002</v>
      </c>
      <c r="C130">
        <v>1.1104999999999998</v>
      </c>
      <c r="D130">
        <v>0.97340000000000004</v>
      </c>
      <c r="E130">
        <v>0.83827142857142856</v>
      </c>
    </row>
    <row r="131" spans="1:5" x14ac:dyDescent="0.3">
      <c r="A131" s="1">
        <v>47543</v>
      </c>
      <c r="B131">
        <v>1.3757714285714289</v>
      </c>
      <c r="C131">
        <v>1.1389285714285715</v>
      </c>
      <c r="D131">
        <v>0.96365714285714277</v>
      </c>
      <c r="E131">
        <v>0.78860000000000008</v>
      </c>
    </row>
    <row r="132" spans="1:5" x14ac:dyDescent="0.3">
      <c r="A132" s="1">
        <v>47574</v>
      </c>
      <c r="B132">
        <v>1.3818142857142859</v>
      </c>
      <c r="C132">
        <v>1.1536428571428574</v>
      </c>
      <c r="D132">
        <v>0.94458571428571436</v>
      </c>
      <c r="E132">
        <v>0.76857142857142857</v>
      </c>
    </row>
    <row r="133" spans="1:5" x14ac:dyDescent="0.3">
      <c r="A133" s="1">
        <v>47604</v>
      </c>
      <c r="B133">
        <v>1.4698999999999998</v>
      </c>
      <c r="C133">
        <v>1.1708857142857145</v>
      </c>
      <c r="D133">
        <v>0.94020000000000004</v>
      </c>
      <c r="E133">
        <v>0.77549999999999997</v>
      </c>
    </row>
    <row r="134" spans="1:5" x14ac:dyDescent="0.3">
      <c r="A134" s="1">
        <v>47635</v>
      </c>
      <c r="B134">
        <v>1.4288999999999998</v>
      </c>
      <c r="C134">
        <v>1.1569285714285713</v>
      </c>
      <c r="D134">
        <v>0.95344285714285726</v>
      </c>
      <c r="E134">
        <v>0.81552857142857138</v>
      </c>
    </row>
    <row r="135" spans="1:5" x14ac:dyDescent="0.3">
      <c r="A135" s="1">
        <v>47665</v>
      </c>
      <c r="B135">
        <v>1.4388714285714286</v>
      </c>
      <c r="C135">
        <v>1.1536714285714287</v>
      </c>
      <c r="D135">
        <v>0.95731428571428567</v>
      </c>
      <c r="E135">
        <v>0.83661428571428575</v>
      </c>
    </row>
    <row r="136" spans="1:5" x14ac:dyDescent="0.3">
      <c r="A136" s="1">
        <v>47696</v>
      </c>
      <c r="B136">
        <v>1.3798428571428569</v>
      </c>
      <c r="C136">
        <v>1.1585857142857143</v>
      </c>
      <c r="D136">
        <v>0.95428571428571429</v>
      </c>
      <c r="E136">
        <v>0.81328571428571428</v>
      </c>
    </row>
    <row r="137" spans="1:5" x14ac:dyDescent="0.3">
      <c r="A137" s="1">
        <v>47727</v>
      </c>
      <c r="B137">
        <v>1.3008857142857144</v>
      </c>
      <c r="C137">
        <v>1.1361571428571429</v>
      </c>
      <c r="D137">
        <v>0.96919999999999995</v>
      </c>
      <c r="E137">
        <v>0.83892857142857147</v>
      </c>
    </row>
    <row r="138" spans="1:5" x14ac:dyDescent="0.3">
      <c r="A138" s="1">
        <v>47757</v>
      </c>
      <c r="B138">
        <v>1.3638571428571427</v>
      </c>
      <c r="C138">
        <v>1.1285428571428571</v>
      </c>
      <c r="D138">
        <v>0.95781428571428573</v>
      </c>
      <c r="E138">
        <v>0.84472857142857161</v>
      </c>
    </row>
    <row r="139" spans="1:5" x14ac:dyDescent="0.3">
      <c r="A139" s="1">
        <v>47788</v>
      </c>
      <c r="B139">
        <v>1.4133142857142857</v>
      </c>
      <c r="C139">
        <v>1.1320285714285714</v>
      </c>
      <c r="D139">
        <v>0.95874285714285712</v>
      </c>
      <c r="E139">
        <v>0.80795714285714282</v>
      </c>
    </row>
    <row r="140" spans="1:5" x14ac:dyDescent="0.3">
      <c r="A140" s="1">
        <v>47818</v>
      </c>
      <c r="B140">
        <v>1.3662571428571426</v>
      </c>
      <c r="C140">
        <v>1.1411</v>
      </c>
      <c r="D140">
        <v>0.9703142857142858</v>
      </c>
      <c r="E140">
        <v>0.81135714285714289</v>
      </c>
    </row>
    <row r="141" spans="1:5" x14ac:dyDescent="0.3">
      <c r="A141" s="1">
        <v>47849</v>
      </c>
      <c r="B141">
        <v>1.3340142857142856</v>
      </c>
      <c r="C141">
        <v>1.1144571428571428</v>
      </c>
      <c r="D141">
        <v>0.96601428571428571</v>
      </c>
      <c r="E141">
        <v>0.76194285714285714</v>
      </c>
    </row>
    <row r="142" spans="1:5" x14ac:dyDescent="0.3">
      <c r="A142" s="1">
        <v>47880</v>
      </c>
      <c r="B142">
        <v>1.3339571428571426</v>
      </c>
      <c r="C142">
        <v>1.1122999999999998</v>
      </c>
      <c r="D142">
        <v>0.97337142857142855</v>
      </c>
      <c r="E142">
        <v>0.8352857142857143</v>
      </c>
    </row>
    <row r="143" spans="1:5" x14ac:dyDescent="0.3">
      <c r="A143" s="1">
        <v>47908</v>
      </c>
      <c r="B143">
        <v>1.3742428571428571</v>
      </c>
      <c r="C143">
        <v>1.1403285714285716</v>
      </c>
      <c r="D143">
        <v>0.96307142857142847</v>
      </c>
      <c r="E143">
        <v>0.78508571428571439</v>
      </c>
    </row>
    <row r="144" spans="1:5" x14ac:dyDescent="0.3">
      <c r="A144" s="1">
        <v>47939</v>
      </c>
      <c r="B144">
        <v>1.3804000000000001</v>
      </c>
      <c r="C144">
        <v>1.1550571428571428</v>
      </c>
      <c r="D144">
        <v>0.94345714285714277</v>
      </c>
      <c r="E144">
        <v>0.7639285714285714</v>
      </c>
    </row>
    <row r="145" spans="1:5" x14ac:dyDescent="0.3">
      <c r="A145" s="1">
        <v>47969</v>
      </c>
      <c r="B145">
        <v>1.4680428571428572</v>
      </c>
      <c r="C145">
        <v>1.1720857142857142</v>
      </c>
      <c r="D145">
        <v>0.9389142857142857</v>
      </c>
      <c r="E145">
        <v>0.77179999999999993</v>
      </c>
    </row>
    <row r="146" spans="1:5" x14ac:dyDescent="0.3">
      <c r="A146" s="1">
        <v>48000</v>
      </c>
      <c r="B146">
        <v>1.4308571428571428</v>
      </c>
      <c r="C146">
        <v>1.1588857142857143</v>
      </c>
      <c r="D146">
        <v>0.95231428571428567</v>
      </c>
      <c r="E146">
        <v>0.81105714285714281</v>
      </c>
    </row>
    <row r="147" spans="1:5" x14ac:dyDescent="0.3">
      <c r="A147" s="1">
        <v>48030</v>
      </c>
      <c r="B147">
        <v>1.4429571428571428</v>
      </c>
      <c r="C147">
        <v>1.1543571428571429</v>
      </c>
      <c r="D147">
        <v>0.95622857142857143</v>
      </c>
      <c r="E147">
        <v>0.83295714285714306</v>
      </c>
    </row>
    <row r="148" spans="1:5" x14ac:dyDescent="0.3">
      <c r="A148" s="1">
        <v>48061</v>
      </c>
      <c r="B148">
        <v>1.3848285714285713</v>
      </c>
      <c r="C148">
        <v>1.1587428571428571</v>
      </c>
      <c r="D148">
        <v>0.95345714285714289</v>
      </c>
      <c r="E148">
        <v>0.80965714285714274</v>
      </c>
    </row>
    <row r="149" spans="1:5" x14ac:dyDescent="0.3">
      <c r="A149" s="1">
        <v>48092</v>
      </c>
      <c r="B149">
        <v>1.3049428571428572</v>
      </c>
      <c r="C149">
        <v>1.1362857142857141</v>
      </c>
      <c r="D149">
        <v>0.96880000000000011</v>
      </c>
      <c r="E149">
        <v>0.83814285714285719</v>
      </c>
    </row>
    <row r="150" spans="1:5" x14ac:dyDescent="0.3">
      <c r="A150" s="1">
        <v>48122</v>
      </c>
      <c r="B150">
        <v>1.3653571428571429</v>
      </c>
      <c r="C150">
        <v>1.1293857142857144</v>
      </c>
      <c r="D150">
        <v>0.95737142857142854</v>
      </c>
      <c r="E150">
        <v>0.84370000000000012</v>
      </c>
    </row>
    <row r="151" spans="1:5" x14ac:dyDescent="0.3">
      <c r="A151" s="1">
        <v>48153</v>
      </c>
      <c r="B151">
        <v>1.4134285714285717</v>
      </c>
      <c r="C151">
        <v>1.1335000000000002</v>
      </c>
      <c r="D151">
        <v>0.95778571428571435</v>
      </c>
      <c r="E151">
        <v>0.80535714285714288</v>
      </c>
    </row>
    <row r="152" spans="1:5" x14ac:dyDescent="0.3">
      <c r="A152" s="1">
        <v>48183</v>
      </c>
      <c r="B152">
        <v>1.3647428571428573</v>
      </c>
      <c r="C152">
        <v>1.1422857142857143</v>
      </c>
      <c r="D152">
        <v>0.96958571428571438</v>
      </c>
      <c r="E152">
        <v>0.80871428571428583</v>
      </c>
    </row>
    <row r="153" spans="1:5" x14ac:dyDescent="0.3">
      <c r="A153" s="1">
        <v>48214</v>
      </c>
      <c r="B153">
        <v>1.3333285714285714</v>
      </c>
      <c r="C153">
        <v>1.1158142857142859</v>
      </c>
      <c r="D153">
        <v>0.96531428571428557</v>
      </c>
      <c r="E153">
        <v>0.7591714285714285</v>
      </c>
    </row>
    <row r="154" spans="1:5" x14ac:dyDescent="0.3">
      <c r="A154" s="1">
        <v>48245</v>
      </c>
      <c r="B154">
        <v>1.3365571428571428</v>
      </c>
      <c r="C154">
        <v>1.116842857142857</v>
      </c>
      <c r="D154">
        <v>0.96465714285714288</v>
      </c>
      <c r="E154">
        <v>0.82011428571428557</v>
      </c>
    </row>
    <row r="155" spans="1:5" x14ac:dyDescent="0.3">
      <c r="A155" s="1">
        <v>48274</v>
      </c>
      <c r="B155">
        <v>1.3639428571428573</v>
      </c>
      <c r="C155">
        <v>1.1353285714285715</v>
      </c>
      <c r="D155">
        <v>0.9656285714285715</v>
      </c>
      <c r="E155">
        <v>0.78889999999999993</v>
      </c>
    </row>
    <row r="156" spans="1:5" x14ac:dyDescent="0.3">
      <c r="A156" s="1">
        <v>48305</v>
      </c>
      <c r="B156">
        <v>1.3780428571428571</v>
      </c>
      <c r="C156">
        <v>1.1560571428571429</v>
      </c>
      <c r="D156">
        <v>0.9425</v>
      </c>
      <c r="E156">
        <v>0.75945714285714294</v>
      </c>
    </row>
    <row r="157" spans="1:5" x14ac:dyDescent="0.3">
      <c r="A157" s="1">
        <v>48335</v>
      </c>
      <c r="B157">
        <v>1.4652142857142856</v>
      </c>
      <c r="C157">
        <v>1.1730714285714285</v>
      </c>
      <c r="D157">
        <v>0.9381571428571428</v>
      </c>
      <c r="E157">
        <v>0.76921428571428574</v>
      </c>
    </row>
    <row r="158" spans="1:5" x14ac:dyDescent="0.3">
      <c r="A158" s="1">
        <v>48366</v>
      </c>
      <c r="B158">
        <v>1.431657142857143</v>
      </c>
      <c r="C158">
        <v>1.1604285714285716</v>
      </c>
      <c r="D158">
        <v>0.95087142857142837</v>
      </c>
      <c r="E158">
        <v>0.80582857142857145</v>
      </c>
    </row>
    <row r="159" spans="1:5" x14ac:dyDescent="0.3">
      <c r="A159" s="1">
        <v>48396</v>
      </c>
      <c r="B159">
        <v>1.4461142857142857</v>
      </c>
      <c r="C159">
        <v>1.1545857142857141</v>
      </c>
      <c r="D159">
        <v>0.95491428571428572</v>
      </c>
      <c r="E159">
        <v>0.8285285714285715</v>
      </c>
    </row>
    <row r="160" spans="1:5" x14ac:dyDescent="0.3">
      <c r="A160" s="1">
        <v>48427</v>
      </c>
      <c r="B160">
        <v>1.3890714285714285</v>
      </c>
      <c r="C160">
        <v>1.1583142857142856</v>
      </c>
      <c r="D160">
        <v>0.9523571428571429</v>
      </c>
      <c r="E160">
        <v>0.80451428571428585</v>
      </c>
    </row>
    <row r="161" spans="1:5" x14ac:dyDescent="0.3">
      <c r="A161" s="1">
        <v>48458</v>
      </c>
      <c r="B161">
        <v>1.3085714285714285</v>
      </c>
      <c r="C161">
        <v>1.1359142857142857</v>
      </c>
      <c r="D161">
        <v>0.96817142857142857</v>
      </c>
      <c r="E161">
        <v>0.83732857142857142</v>
      </c>
    </row>
    <row r="162" spans="1:5" x14ac:dyDescent="0.3">
      <c r="A162" s="1">
        <v>48488</v>
      </c>
      <c r="B162">
        <v>1.3658714285714286</v>
      </c>
      <c r="C162">
        <v>1.1298142857142857</v>
      </c>
      <c r="D162">
        <v>0.95668571428571436</v>
      </c>
      <c r="E162">
        <v>0.84248571428571428</v>
      </c>
    </row>
    <row r="163" spans="1:5" x14ac:dyDescent="0.3">
      <c r="A163" s="1">
        <v>48519</v>
      </c>
      <c r="B163">
        <v>1.4110571428571428</v>
      </c>
      <c r="C163">
        <v>1.1345571428571428</v>
      </c>
      <c r="D163">
        <v>0.9569428571428571</v>
      </c>
      <c r="E163">
        <v>0.8031571428571429</v>
      </c>
    </row>
    <row r="164" spans="1:5" x14ac:dyDescent="0.3">
      <c r="A164" s="1">
        <v>48549</v>
      </c>
      <c r="B164">
        <v>1.3628285714285713</v>
      </c>
      <c r="C164">
        <v>1.1435</v>
      </c>
      <c r="D164">
        <v>0.96919999999999995</v>
      </c>
      <c r="E164">
        <v>0.80645714285714298</v>
      </c>
    </row>
    <row r="165" spans="1:5" x14ac:dyDescent="0.3">
      <c r="A165" s="1">
        <v>48580</v>
      </c>
      <c r="B165">
        <v>1.3305142857142855</v>
      </c>
      <c r="C165">
        <v>1.1158142857142856</v>
      </c>
      <c r="D165">
        <v>0.96522857142857155</v>
      </c>
      <c r="E165">
        <v>0.75872857142857142</v>
      </c>
    </row>
    <row r="166" spans="1:5" x14ac:dyDescent="0.3">
      <c r="A166" s="1">
        <v>48611</v>
      </c>
      <c r="B166">
        <v>1.3282857142857143</v>
      </c>
      <c r="C166">
        <v>1.1132000000000002</v>
      </c>
      <c r="D166">
        <v>0.97221428571428581</v>
      </c>
      <c r="E166">
        <v>0.83000000000000007</v>
      </c>
    </row>
    <row r="167" spans="1:5" x14ac:dyDescent="0.3">
      <c r="A167" s="1">
        <v>48639</v>
      </c>
      <c r="B167">
        <v>1.3679714285714286</v>
      </c>
      <c r="C167">
        <v>1.1415857142857144</v>
      </c>
      <c r="D167">
        <v>0.96262857142857139</v>
      </c>
      <c r="E167">
        <v>0.78077142857142867</v>
      </c>
    </row>
    <row r="168" spans="1:5" x14ac:dyDescent="0.3">
      <c r="A168" s="1">
        <v>48670</v>
      </c>
      <c r="B168">
        <v>1.3742999999999999</v>
      </c>
      <c r="C168">
        <v>1.1562428571428571</v>
      </c>
      <c r="D168">
        <v>0.9421571428571428</v>
      </c>
      <c r="E168">
        <v>0.75682857142857141</v>
      </c>
    </row>
    <row r="169" spans="1:5" x14ac:dyDescent="0.3">
      <c r="A169" s="1">
        <v>48700</v>
      </c>
      <c r="B169">
        <v>1.4610428571428571</v>
      </c>
      <c r="C169">
        <v>1.1732857142857145</v>
      </c>
      <c r="D169">
        <v>0.93759999999999988</v>
      </c>
      <c r="E169">
        <v>0.76714285714285713</v>
      </c>
    </row>
    <row r="170" spans="1:5" x14ac:dyDescent="0.3">
      <c r="A170" s="1">
        <v>48731</v>
      </c>
      <c r="B170">
        <v>1.4314000000000002</v>
      </c>
      <c r="C170">
        <v>1.1616714285714287</v>
      </c>
      <c r="D170">
        <v>0.94968571428571436</v>
      </c>
      <c r="E170">
        <v>0.80097142857142856</v>
      </c>
    </row>
    <row r="171" spans="1:5" x14ac:dyDescent="0.3">
      <c r="A171" s="1">
        <v>48761</v>
      </c>
      <c r="B171">
        <v>1.4487142857142856</v>
      </c>
      <c r="C171">
        <v>1.1547857142857143</v>
      </c>
      <c r="D171">
        <v>0.95348571428571438</v>
      </c>
      <c r="E171">
        <v>0.82340000000000002</v>
      </c>
    </row>
    <row r="172" spans="1:5" x14ac:dyDescent="0.3">
      <c r="A172" s="1">
        <v>48792</v>
      </c>
      <c r="B172">
        <v>1.3932</v>
      </c>
      <c r="C172">
        <v>1.1579285714285714</v>
      </c>
      <c r="D172">
        <v>0.95137142857142865</v>
      </c>
      <c r="E172">
        <v>0.79972857142857134</v>
      </c>
    </row>
    <row r="173" spans="1:5" x14ac:dyDescent="0.3">
      <c r="A173" s="1">
        <v>48823</v>
      </c>
      <c r="B173">
        <v>1.3115142857142856</v>
      </c>
      <c r="C173">
        <v>1.1355428571428572</v>
      </c>
      <c r="D173">
        <v>0.96732857142857143</v>
      </c>
      <c r="E173">
        <v>0.83599999999999997</v>
      </c>
    </row>
    <row r="174" spans="1:5" x14ac:dyDescent="0.3">
      <c r="A174" s="1">
        <v>48853</v>
      </c>
      <c r="B174">
        <v>1.3661285714285714</v>
      </c>
      <c r="C174">
        <v>1.1305000000000001</v>
      </c>
      <c r="D174">
        <v>0.95607142857142857</v>
      </c>
      <c r="E174">
        <v>0.8407714285714285</v>
      </c>
    </row>
    <row r="175" spans="1:5" x14ac:dyDescent="0.3">
      <c r="A175" s="1">
        <v>48884</v>
      </c>
      <c r="B175">
        <v>1.4093571428571428</v>
      </c>
      <c r="C175">
        <v>1.1358571428571429</v>
      </c>
      <c r="D175">
        <v>0.95612857142857144</v>
      </c>
      <c r="E175">
        <v>0.80011428571428578</v>
      </c>
    </row>
    <row r="176" spans="1:5" x14ac:dyDescent="0.3">
      <c r="A176" s="1">
        <v>48914</v>
      </c>
      <c r="B176">
        <v>1.3602142857142856</v>
      </c>
      <c r="C176">
        <v>1.1442714285714286</v>
      </c>
      <c r="D176">
        <v>0.96888571428571424</v>
      </c>
      <c r="E176">
        <v>0.80428571428571427</v>
      </c>
    </row>
    <row r="177" spans="1:5" x14ac:dyDescent="0.3">
      <c r="A177" s="1">
        <v>48945</v>
      </c>
      <c r="B177">
        <v>1.3284142857142858</v>
      </c>
      <c r="C177">
        <v>1.1164857142857141</v>
      </c>
      <c r="D177">
        <v>0.9649428571428571</v>
      </c>
      <c r="E177">
        <v>0.75695714285714288</v>
      </c>
    </row>
    <row r="178" spans="1:5" x14ac:dyDescent="0.3">
      <c r="A178" s="1">
        <v>48976</v>
      </c>
      <c r="B178">
        <v>1.3251285714285714</v>
      </c>
      <c r="C178">
        <v>1.1134999999999999</v>
      </c>
      <c r="D178">
        <v>0.97175714285714299</v>
      </c>
      <c r="E178">
        <v>0.82747142857142852</v>
      </c>
    </row>
    <row r="179" spans="1:5" x14ac:dyDescent="0.3">
      <c r="A179" s="1">
        <v>49004</v>
      </c>
      <c r="B179">
        <v>1.3644999999999998</v>
      </c>
      <c r="C179">
        <v>1.1421142857142859</v>
      </c>
      <c r="D179">
        <v>0.96254285714285726</v>
      </c>
      <c r="E179">
        <v>0.77867142857142846</v>
      </c>
    </row>
    <row r="180" spans="1:5" x14ac:dyDescent="0.3">
      <c r="A180" s="1">
        <v>49035</v>
      </c>
      <c r="B180">
        <v>1.3709285714285715</v>
      </c>
      <c r="C180">
        <v>1.1567285714285713</v>
      </c>
      <c r="D180">
        <v>0.94158571428571436</v>
      </c>
      <c r="E180">
        <v>0.75330000000000008</v>
      </c>
    </row>
    <row r="181" spans="1:5" x14ac:dyDescent="0.3">
      <c r="A181" s="1">
        <v>49065</v>
      </c>
      <c r="B181">
        <v>1.4570714285714286</v>
      </c>
      <c r="C181">
        <v>1.1737714285714287</v>
      </c>
      <c r="D181">
        <v>0.93704285714285707</v>
      </c>
      <c r="E181">
        <v>0.7649285714285714</v>
      </c>
    </row>
    <row r="182" spans="1:5" x14ac:dyDescent="0.3">
      <c r="A182" s="1">
        <v>49096</v>
      </c>
      <c r="B182">
        <v>1.4311</v>
      </c>
      <c r="C182">
        <v>1.1634285714285715</v>
      </c>
      <c r="D182">
        <v>0.94852857142857139</v>
      </c>
      <c r="E182">
        <v>0.79572857142857145</v>
      </c>
    </row>
    <row r="183" spans="1:5" x14ac:dyDescent="0.3">
      <c r="A183" s="1">
        <v>49126</v>
      </c>
      <c r="B183">
        <v>1.451057142857143</v>
      </c>
      <c r="C183">
        <v>1.1555</v>
      </c>
      <c r="D183">
        <v>0.95178571428571423</v>
      </c>
      <c r="E183">
        <v>0.8158428571428572</v>
      </c>
    </row>
    <row r="184" spans="1:5" x14ac:dyDescent="0.3">
      <c r="A184" s="1">
        <v>49157</v>
      </c>
      <c r="B184">
        <v>1.397342857142857</v>
      </c>
      <c r="C184">
        <v>1.1578285714285712</v>
      </c>
      <c r="D184">
        <v>0.95015714285714281</v>
      </c>
      <c r="E184">
        <v>0.79419999999999991</v>
      </c>
    </row>
    <row r="185" spans="1:5" x14ac:dyDescent="0.3">
      <c r="A185" s="1">
        <v>49188</v>
      </c>
      <c r="B185">
        <v>1.3146428571428572</v>
      </c>
      <c r="C185">
        <v>1.1355285714285714</v>
      </c>
      <c r="D185">
        <v>0.96645714285714279</v>
      </c>
      <c r="E185">
        <v>0.8344571428571429</v>
      </c>
    </row>
    <row r="186" spans="1:5" x14ac:dyDescent="0.3">
      <c r="A186" s="1">
        <v>49218</v>
      </c>
      <c r="B186">
        <v>1.3658999999999999</v>
      </c>
      <c r="C186">
        <v>1.131342857142857</v>
      </c>
      <c r="D186">
        <v>0.95544285714285704</v>
      </c>
      <c r="E186">
        <v>0.83865714285714277</v>
      </c>
    </row>
    <row r="187" spans="1:5" x14ac:dyDescent="0.3">
      <c r="A187" s="1">
        <v>49249</v>
      </c>
      <c r="B187">
        <v>1.4068428571428571</v>
      </c>
      <c r="C187">
        <v>1.136957142857143</v>
      </c>
      <c r="D187">
        <v>0.95551428571428565</v>
      </c>
      <c r="E187">
        <v>0.79725714285714278</v>
      </c>
    </row>
    <row r="188" spans="1:5" x14ac:dyDescent="0.3">
      <c r="A188" s="1">
        <v>49279</v>
      </c>
      <c r="B188">
        <v>1.3575999999999999</v>
      </c>
      <c r="C188">
        <v>1.1451</v>
      </c>
      <c r="D188">
        <v>0.96854285714285726</v>
      </c>
      <c r="E188">
        <v>0.80177142857142858</v>
      </c>
    </row>
    <row r="189" spans="1:5" x14ac:dyDescent="0.3">
      <c r="A189" s="1">
        <v>49310</v>
      </c>
      <c r="B189">
        <v>1.3261714285714288</v>
      </c>
      <c r="C189">
        <v>1.1170714285714285</v>
      </c>
      <c r="D189">
        <v>0.96472857142857138</v>
      </c>
      <c r="E189">
        <v>0.75542857142857134</v>
      </c>
    </row>
    <row r="190" spans="1:5" x14ac:dyDescent="0.3">
      <c r="A190" s="1">
        <v>49341</v>
      </c>
      <c r="B190">
        <v>1.3219285714285713</v>
      </c>
      <c r="C190">
        <v>1.1137857142857144</v>
      </c>
      <c r="D190">
        <v>0.97118571428571421</v>
      </c>
      <c r="E190">
        <v>0.8248428571428571</v>
      </c>
    </row>
    <row r="191" spans="1:5" x14ac:dyDescent="0.3">
      <c r="A191" s="1">
        <v>49369</v>
      </c>
      <c r="B191">
        <v>1.361057142857143</v>
      </c>
      <c r="C191">
        <v>1.1425000000000001</v>
      </c>
      <c r="D191">
        <v>0.96237142857142843</v>
      </c>
      <c r="E191">
        <v>0.77654285714285709</v>
      </c>
    </row>
    <row r="192" spans="1:5" x14ac:dyDescent="0.3">
      <c r="A192" s="1">
        <v>49400</v>
      </c>
      <c r="B192">
        <v>1.3676285714285714</v>
      </c>
      <c r="C192">
        <v>1.1570285714285713</v>
      </c>
      <c r="D192">
        <v>0.94102857142857144</v>
      </c>
      <c r="E192">
        <v>0.75011428571428573</v>
      </c>
    </row>
    <row r="193" spans="1:5" x14ac:dyDescent="0.3">
      <c r="A193" s="1">
        <v>49430</v>
      </c>
      <c r="B193">
        <v>1.4530857142857143</v>
      </c>
      <c r="C193">
        <v>1.1743428571428571</v>
      </c>
      <c r="D193">
        <v>0.93658571428571435</v>
      </c>
      <c r="E193">
        <v>0.76265714285714281</v>
      </c>
    </row>
    <row r="194" spans="1:5" x14ac:dyDescent="0.3">
      <c r="A194" s="1">
        <v>49461</v>
      </c>
      <c r="B194">
        <v>1.4305000000000001</v>
      </c>
      <c r="C194">
        <v>1.1651714285714285</v>
      </c>
      <c r="D194">
        <v>0.94739999999999991</v>
      </c>
      <c r="E194">
        <v>0.79075714285714305</v>
      </c>
    </row>
    <row r="195" spans="1:5" x14ac:dyDescent="0.3">
      <c r="A195" s="1">
        <v>49491</v>
      </c>
      <c r="B195">
        <v>1.4528571428571428</v>
      </c>
      <c r="C195">
        <v>1.1565285714285716</v>
      </c>
      <c r="D195">
        <v>0.95014285714285696</v>
      </c>
      <c r="E195">
        <v>0.80865714285714285</v>
      </c>
    </row>
    <row r="196" spans="1:5" x14ac:dyDescent="0.3">
      <c r="A196" s="1">
        <v>49522</v>
      </c>
      <c r="B196">
        <v>1.4012428571428572</v>
      </c>
      <c r="C196">
        <v>1.1580999999999999</v>
      </c>
      <c r="D196">
        <v>0.9490142857142857</v>
      </c>
      <c r="E196">
        <v>0.78901428571428578</v>
      </c>
    </row>
    <row r="197" spans="1:5" x14ac:dyDescent="0.3">
      <c r="A197" s="1">
        <v>49553</v>
      </c>
      <c r="B197">
        <v>1.3175428571428571</v>
      </c>
      <c r="C197">
        <v>1.1359142857142857</v>
      </c>
      <c r="D197">
        <v>0.96550000000000025</v>
      </c>
      <c r="E197">
        <v>0.83248571428571427</v>
      </c>
    </row>
    <row r="198" spans="1:5" x14ac:dyDescent="0.3">
      <c r="A198" s="1">
        <v>49583</v>
      </c>
      <c r="B198">
        <v>1.3650714285714289</v>
      </c>
      <c r="C198">
        <v>1.1325000000000001</v>
      </c>
      <c r="D198">
        <v>0.9548714285714287</v>
      </c>
      <c r="E198">
        <v>0.83625714285714281</v>
      </c>
    </row>
    <row r="199" spans="1:5" x14ac:dyDescent="0.3">
      <c r="A199" s="1">
        <v>49614</v>
      </c>
      <c r="B199">
        <v>1.4042999999999999</v>
      </c>
      <c r="C199">
        <v>1.1380999999999999</v>
      </c>
      <c r="D199">
        <v>0.95502857142857145</v>
      </c>
      <c r="E199">
        <v>0.79470000000000007</v>
      </c>
    </row>
    <row r="200" spans="1:5" x14ac:dyDescent="0.3">
      <c r="A200" s="1">
        <v>49644</v>
      </c>
      <c r="B200">
        <v>1.3528</v>
      </c>
      <c r="C200">
        <v>1.1460428571428571</v>
      </c>
      <c r="D200">
        <v>0.96832857142857143</v>
      </c>
      <c r="E200">
        <v>0.79964285714285732</v>
      </c>
    </row>
    <row r="201" spans="1:5" x14ac:dyDescent="0.3">
      <c r="A201" s="1">
        <v>49675</v>
      </c>
      <c r="B201">
        <v>1.3242285714285715</v>
      </c>
      <c r="C201">
        <v>1.1179857142857141</v>
      </c>
      <c r="D201">
        <v>0.96454285714285704</v>
      </c>
      <c r="E201">
        <v>0.7535142857142858</v>
      </c>
    </row>
    <row r="202" spans="1:5" x14ac:dyDescent="0.3">
      <c r="A202" s="1">
        <v>49706</v>
      </c>
      <c r="B202">
        <v>1.3176428571428571</v>
      </c>
      <c r="C202">
        <v>1.1180857142857143</v>
      </c>
      <c r="D202">
        <v>0.96125714285714281</v>
      </c>
      <c r="E202">
        <v>0.8046714285714287</v>
      </c>
    </row>
    <row r="203" spans="1:5" x14ac:dyDescent="0.3">
      <c r="A203" s="1">
        <v>49735</v>
      </c>
      <c r="B203">
        <v>1.3505285714285713</v>
      </c>
      <c r="C203">
        <v>1.1371285714285715</v>
      </c>
      <c r="D203">
        <v>0.96542857142857141</v>
      </c>
      <c r="E203">
        <v>0.78062857142857145</v>
      </c>
    </row>
    <row r="204" spans="1:5" x14ac:dyDescent="0.3">
      <c r="A204" s="1">
        <v>49766</v>
      </c>
      <c r="B204">
        <v>1.3641142857142856</v>
      </c>
      <c r="C204">
        <v>1.1574714285714285</v>
      </c>
      <c r="D204">
        <v>0.94051428571428575</v>
      </c>
      <c r="E204">
        <v>0.74675714285714279</v>
      </c>
    </row>
    <row r="205" spans="1:5" x14ac:dyDescent="0.3">
      <c r="A205" s="1">
        <v>49796</v>
      </c>
      <c r="B205">
        <v>1.4486285714285714</v>
      </c>
      <c r="C205">
        <v>1.1747571428571428</v>
      </c>
      <c r="D205">
        <v>0.93621428571428578</v>
      </c>
      <c r="E205">
        <v>0.7605857142857142</v>
      </c>
    </row>
    <row r="206" spans="1:5" x14ac:dyDescent="0.3">
      <c r="A206" s="1">
        <v>49827</v>
      </c>
      <c r="B206">
        <v>1.429742857142857</v>
      </c>
      <c r="C206">
        <v>1.209842857142857</v>
      </c>
      <c r="D206">
        <v>1.0074714285714286</v>
      </c>
      <c r="E206">
        <v>0.85780000000000012</v>
      </c>
    </row>
    <row r="207" spans="1:5" x14ac:dyDescent="0.3">
      <c r="A207" s="1">
        <v>49857</v>
      </c>
      <c r="B207">
        <v>1.4542142857142859</v>
      </c>
      <c r="C207">
        <v>1.1578142857142857</v>
      </c>
      <c r="D207">
        <v>0.94830000000000003</v>
      </c>
      <c r="E207">
        <v>0.79991428571428558</v>
      </c>
    </row>
    <row r="208" spans="1:5" x14ac:dyDescent="0.3">
      <c r="A208" s="1">
        <v>49888</v>
      </c>
      <c r="B208">
        <v>1.4050428571428573</v>
      </c>
      <c r="C208">
        <v>1.1583428571428571</v>
      </c>
      <c r="D208">
        <v>0.94782857142857146</v>
      </c>
      <c r="E208">
        <v>0.78468571428571432</v>
      </c>
    </row>
    <row r="209" spans="1:5" x14ac:dyDescent="0.3">
      <c r="A209" s="1">
        <v>49919</v>
      </c>
      <c r="B209">
        <v>1.3199857142857143</v>
      </c>
      <c r="C209">
        <v>1.1364000000000001</v>
      </c>
      <c r="D209">
        <v>0.96445714285714279</v>
      </c>
      <c r="E209">
        <v>0.83050000000000002</v>
      </c>
    </row>
    <row r="210" spans="1:5" x14ac:dyDescent="0.3">
      <c r="A210" s="1">
        <v>49949</v>
      </c>
      <c r="B210">
        <v>1.3633142857142857</v>
      </c>
      <c r="C210">
        <v>1.1333</v>
      </c>
      <c r="D210">
        <v>0.95422857142857154</v>
      </c>
      <c r="E210">
        <v>0.83397142857142847</v>
      </c>
    </row>
    <row r="211" spans="1:5" x14ac:dyDescent="0.3">
      <c r="A211" s="1">
        <v>49980</v>
      </c>
      <c r="B211">
        <v>1.4002571428571429</v>
      </c>
      <c r="C211">
        <v>1.1387428571428571</v>
      </c>
      <c r="D211">
        <v>0.95478571428571435</v>
      </c>
      <c r="E211">
        <v>0.79267142857142858</v>
      </c>
    </row>
    <row r="212" spans="1:5" x14ac:dyDescent="0.3">
      <c r="A212" s="1">
        <v>50010</v>
      </c>
      <c r="B212">
        <v>1.3501285714285713</v>
      </c>
      <c r="C212">
        <v>1.1467571428571428</v>
      </c>
      <c r="D212">
        <v>0.96827142857142845</v>
      </c>
      <c r="E212">
        <v>0.79749999999999999</v>
      </c>
    </row>
    <row r="213" spans="1:5" x14ac:dyDescent="0.3">
      <c r="A213" s="1">
        <v>50041</v>
      </c>
      <c r="B213">
        <v>1.3207285714285713</v>
      </c>
      <c r="C213">
        <v>1.1178857142857141</v>
      </c>
      <c r="D213">
        <v>0.96460000000000001</v>
      </c>
      <c r="E213">
        <v>0.75257142857142856</v>
      </c>
    </row>
    <row r="214" spans="1:5" x14ac:dyDescent="0.3">
      <c r="A214" s="1">
        <v>50072</v>
      </c>
      <c r="B214">
        <v>1.314942857142857</v>
      </c>
      <c r="C214">
        <v>1.1139714285714286</v>
      </c>
      <c r="D214">
        <v>0.97005714285714295</v>
      </c>
      <c r="E214">
        <v>0.81915714285714281</v>
      </c>
    </row>
    <row r="215" spans="1:5" x14ac:dyDescent="0.3">
      <c r="A215" s="1">
        <v>50100</v>
      </c>
      <c r="B215">
        <v>1.3534857142857142</v>
      </c>
      <c r="C215">
        <v>1.1429142857142855</v>
      </c>
      <c r="D215">
        <v>0.96230000000000004</v>
      </c>
      <c r="E215">
        <v>0.7725142857142856</v>
      </c>
    </row>
    <row r="216" spans="1:5" x14ac:dyDescent="0.3">
      <c r="A216" s="1">
        <v>50131</v>
      </c>
      <c r="B216">
        <v>1.3600857142857143</v>
      </c>
      <c r="C216">
        <v>1.1574714285714285</v>
      </c>
      <c r="D216">
        <v>0.9403285714285714</v>
      </c>
      <c r="E216">
        <v>0.74434285714285708</v>
      </c>
    </row>
    <row r="217" spans="1:5" x14ac:dyDescent="0.3">
      <c r="A217" s="1">
        <v>50161</v>
      </c>
      <c r="B217">
        <v>1.443842857142857</v>
      </c>
      <c r="C217">
        <v>1.1749571428571428</v>
      </c>
      <c r="D217">
        <v>0.93592857142857144</v>
      </c>
      <c r="E217">
        <v>0.75851428571428581</v>
      </c>
    </row>
    <row r="218" spans="1:5" x14ac:dyDescent="0.3">
      <c r="A218" s="1">
        <v>50192</v>
      </c>
      <c r="B218">
        <v>1.4286857142857143</v>
      </c>
      <c r="C218">
        <v>1.1684285714285714</v>
      </c>
      <c r="D218">
        <v>0.94540000000000002</v>
      </c>
      <c r="E218">
        <v>0.78084285714285706</v>
      </c>
    </row>
    <row r="219" spans="1:5" x14ac:dyDescent="0.3">
      <c r="A219" s="1">
        <v>50222</v>
      </c>
      <c r="B219">
        <v>1.4551714285714288</v>
      </c>
      <c r="C219">
        <v>1.1596571428571429</v>
      </c>
      <c r="D219">
        <v>0.94662857142857137</v>
      </c>
      <c r="E219">
        <v>0.79139999999999999</v>
      </c>
    </row>
    <row r="220" spans="1:5" x14ac:dyDescent="0.3">
      <c r="A220" s="1">
        <v>50253</v>
      </c>
      <c r="B220">
        <v>1.4090857142857143</v>
      </c>
      <c r="C220">
        <v>1.1589857142857143</v>
      </c>
      <c r="D220">
        <v>0.94639999999999991</v>
      </c>
      <c r="E220">
        <v>0.77921428571428553</v>
      </c>
    </row>
    <row r="221" spans="1:5" x14ac:dyDescent="0.3">
      <c r="A221" s="1">
        <v>50284</v>
      </c>
      <c r="B221">
        <v>1.3222571428571428</v>
      </c>
      <c r="C221">
        <v>1.1374</v>
      </c>
      <c r="D221">
        <v>0.96299999999999997</v>
      </c>
      <c r="E221">
        <v>0.82705714285714282</v>
      </c>
    </row>
    <row r="222" spans="1:5" x14ac:dyDescent="0.3">
      <c r="A222" s="1">
        <v>50314</v>
      </c>
      <c r="B222">
        <v>1.3618571428571431</v>
      </c>
      <c r="C222">
        <v>1.1347428571428571</v>
      </c>
      <c r="D222">
        <v>0.95355714285714288</v>
      </c>
      <c r="E222">
        <v>0.83071428571428574</v>
      </c>
    </row>
    <row r="223" spans="1:5" x14ac:dyDescent="0.3">
      <c r="A223" s="1">
        <v>50345</v>
      </c>
      <c r="B223">
        <v>1.3977142857142859</v>
      </c>
      <c r="C223">
        <v>1.1399571428571431</v>
      </c>
      <c r="D223">
        <v>0.95434285714285727</v>
      </c>
      <c r="E223">
        <v>0.78945714285714275</v>
      </c>
    </row>
    <row r="224" spans="1:5" x14ac:dyDescent="0.3">
      <c r="A224" s="1">
        <v>50375</v>
      </c>
      <c r="B224">
        <v>1.3473857142857142</v>
      </c>
      <c r="C224">
        <v>1.1473285714285715</v>
      </c>
      <c r="D224">
        <v>0.96822857142857133</v>
      </c>
      <c r="E224">
        <v>0.79530000000000001</v>
      </c>
    </row>
    <row r="225" spans="1:5" x14ac:dyDescent="0.3">
      <c r="A225" s="1">
        <v>50406</v>
      </c>
      <c r="B225">
        <v>1.3193999999999999</v>
      </c>
      <c r="C225">
        <v>1.1187</v>
      </c>
      <c r="D225">
        <v>0.96447142857142865</v>
      </c>
      <c r="E225">
        <v>0.74970000000000003</v>
      </c>
    </row>
    <row r="226" spans="1:5" x14ac:dyDescent="0.3">
      <c r="A226" s="1">
        <v>50437</v>
      </c>
      <c r="B226">
        <v>1.3116000000000001</v>
      </c>
      <c r="C226">
        <v>1.1140857142857143</v>
      </c>
      <c r="D226">
        <v>0.96954285714285715</v>
      </c>
      <c r="E226">
        <v>0.81650000000000011</v>
      </c>
    </row>
    <row r="227" spans="1:5" x14ac:dyDescent="0.3">
      <c r="A227" s="1">
        <v>50465</v>
      </c>
      <c r="B227">
        <v>1.350657142857143</v>
      </c>
      <c r="C227">
        <v>1.1435571428571429</v>
      </c>
      <c r="D227">
        <v>0.96218571428571431</v>
      </c>
      <c r="E227">
        <v>0.76962857142857133</v>
      </c>
    </row>
    <row r="228" spans="1:5" x14ac:dyDescent="0.3">
      <c r="A228" s="1">
        <v>50496</v>
      </c>
      <c r="B228">
        <v>1.3565</v>
      </c>
      <c r="C228">
        <v>1.1576428571428572</v>
      </c>
      <c r="D228">
        <v>0.94002857142857132</v>
      </c>
      <c r="E228">
        <v>0.74161428571428567</v>
      </c>
    </row>
    <row r="229" spans="1:5" x14ac:dyDescent="0.3">
      <c r="A229" s="1">
        <v>50526</v>
      </c>
      <c r="B229">
        <v>1.4395571428571432</v>
      </c>
      <c r="C229">
        <v>1.1752714285714287</v>
      </c>
      <c r="D229">
        <v>0.93567142857142849</v>
      </c>
      <c r="E229">
        <v>0.75659999999999994</v>
      </c>
    </row>
    <row r="230" spans="1:5" x14ac:dyDescent="0.3">
      <c r="A230" s="1">
        <v>50557</v>
      </c>
      <c r="B230">
        <v>1.4276</v>
      </c>
      <c r="C230">
        <v>1.1700857142857146</v>
      </c>
      <c r="D230">
        <v>0.94460000000000011</v>
      </c>
      <c r="E230">
        <v>0.77660000000000007</v>
      </c>
    </row>
    <row r="231" spans="1:5" x14ac:dyDescent="0.3">
      <c r="A231" s="1">
        <v>50587</v>
      </c>
      <c r="B231">
        <v>1.4552714285714285</v>
      </c>
      <c r="C231">
        <v>1.1614142857142855</v>
      </c>
      <c r="D231">
        <v>0.94501428571428558</v>
      </c>
      <c r="E231">
        <v>0.78368571428571432</v>
      </c>
    </row>
    <row r="232" spans="1:5" x14ac:dyDescent="0.3">
      <c r="A232" s="1">
        <v>50618</v>
      </c>
      <c r="B232">
        <v>1.4124714285714286</v>
      </c>
      <c r="C232">
        <v>1.1605428571428571</v>
      </c>
      <c r="D232">
        <v>0.94510000000000005</v>
      </c>
      <c r="E232">
        <v>0.77518571428571448</v>
      </c>
    </row>
    <row r="233" spans="1:5" x14ac:dyDescent="0.3">
      <c r="A233" s="1">
        <v>50649</v>
      </c>
      <c r="B233">
        <v>1.3240714285714286</v>
      </c>
      <c r="C233">
        <v>1.1387</v>
      </c>
      <c r="D233">
        <v>0.96150000000000013</v>
      </c>
      <c r="E233">
        <v>0.82351428571428564</v>
      </c>
    </row>
    <row r="234" spans="1:5" x14ac:dyDescent="0.3">
      <c r="A234" s="1">
        <v>50679</v>
      </c>
      <c r="B234">
        <v>1.3597999999999999</v>
      </c>
      <c r="C234">
        <v>1.1361428571428571</v>
      </c>
      <c r="D234">
        <v>0.95300000000000007</v>
      </c>
      <c r="E234">
        <v>0.82758571428571426</v>
      </c>
    </row>
    <row r="235" spans="1:5" x14ac:dyDescent="0.3">
      <c r="A235" s="1">
        <v>50710</v>
      </c>
      <c r="B235">
        <v>1.3946571428571428</v>
      </c>
      <c r="C235">
        <v>1.1407571428571428</v>
      </c>
      <c r="D235">
        <v>0.95397142857142847</v>
      </c>
      <c r="E235">
        <v>0.78648571428571423</v>
      </c>
    </row>
    <row r="236" spans="1:5" x14ac:dyDescent="0.3">
      <c r="A236" s="1">
        <v>50740</v>
      </c>
      <c r="B236">
        <v>1.3444</v>
      </c>
      <c r="C236">
        <v>1.1475714285714285</v>
      </c>
      <c r="D236">
        <v>0.96814285714285719</v>
      </c>
      <c r="E236">
        <v>0.79359999999999986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Planilha3</vt:lpstr>
      <vt:lpstr>MDI vs caderno</vt:lpstr>
      <vt:lpstr>Duracao</vt:lpstr>
      <vt:lpstr>Pu media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Veiga Velasco</dc:creator>
  <cp:lastModifiedBy>Jonathan Veiga Velasco</cp:lastModifiedBy>
  <dcterms:created xsi:type="dcterms:W3CDTF">2026-05-24T22:56:10Z</dcterms:created>
  <dcterms:modified xsi:type="dcterms:W3CDTF">2026-10-23T19:50:39Z</dcterms:modified>
</cp:coreProperties>
</file>