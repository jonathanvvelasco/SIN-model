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SIN-model\7. Brasil inputs\data EPE\"/>
    </mc:Choice>
  </mc:AlternateContent>
  <xr:revisionPtr revIDLastSave="0" documentId="8_{BF6DFB68-3DC5-428E-B55F-5E425EE11B73}" xr6:coauthVersionLast="47" xr6:coauthVersionMax="47" xr10:uidLastSave="{00000000-0000-0000-0000-000000000000}"/>
  <bookViews>
    <workbookView xWindow="-108" yWindow="-108" windowWidth="23256" windowHeight="12456" xr2:uid="{F804509D-198A-416F-8845-EE03261C4E2A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18" i="1" l="1"/>
  <c r="P18" i="1"/>
  <c r="O18" i="1"/>
  <c r="N18" i="1"/>
  <c r="M18" i="1"/>
  <c r="L18" i="1"/>
  <c r="K18" i="1"/>
  <c r="J18" i="1"/>
  <c r="I18" i="1"/>
  <c r="H18" i="1"/>
  <c r="G18" i="1"/>
  <c r="F18" i="1"/>
  <c r="Q17" i="1"/>
  <c r="P17" i="1"/>
  <c r="O17" i="1"/>
  <c r="N17" i="1"/>
  <c r="M17" i="1"/>
  <c r="L17" i="1"/>
  <c r="K17" i="1"/>
  <c r="J17" i="1"/>
  <c r="I17" i="1"/>
  <c r="H17" i="1"/>
  <c r="G17" i="1"/>
  <c r="F17" i="1"/>
  <c r="Q16" i="1"/>
  <c r="P16" i="1"/>
  <c r="O16" i="1"/>
  <c r="N16" i="1"/>
  <c r="M16" i="1"/>
  <c r="L16" i="1"/>
  <c r="K16" i="1"/>
  <c r="J16" i="1"/>
  <c r="I16" i="1"/>
  <c r="H16" i="1"/>
  <c r="G16" i="1"/>
  <c r="F16" i="1"/>
  <c r="Q15" i="1"/>
  <c r="P15" i="1"/>
  <c r="O15" i="1"/>
  <c r="N15" i="1"/>
  <c r="M15" i="1"/>
  <c r="L15" i="1"/>
  <c r="K15" i="1"/>
  <c r="J15" i="1"/>
  <c r="I15" i="1"/>
  <c r="H15" i="1"/>
  <c r="G15" i="1"/>
  <c r="F15" i="1"/>
  <c r="Q11" i="1"/>
  <c r="P11" i="1"/>
  <c r="O11" i="1"/>
  <c r="N11" i="1"/>
  <c r="M11" i="1"/>
  <c r="L11" i="1"/>
  <c r="K11" i="1"/>
  <c r="J11" i="1"/>
  <c r="I11" i="1"/>
  <c r="H11" i="1"/>
  <c r="G11" i="1"/>
  <c r="F11" i="1"/>
  <c r="Q10" i="1"/>
  <c r="P10" i="1"/>
  <c r="O10" i="1"/>
  <c r="N10" i="1"/>
  <c r="M10" i="1"/>
  <c r="L10" i="1"/>
  <c r="K10" i="1"/>
  <c r="J10" i="1"/>
  <c r="I10" i="1"/>
  <c r="H10" i="1"/>
  <c r="G10" i="1"/>
  <c r="F10" i="1"/>
  <c r="Q9" i="1"/>
  <c r="P9" i="1"/>
  <c r="O9" i="1"/>
  <c r="N9" i="1"/>
  <c r="M9" i="1"/>
  <c r="L9" i="1"/>
  <c r="K9" i="1"/>
  <c r="J9" i="1"/>
  <c r="I9" i="1"/>
  <c r="H9" i="1"/>
  <c r="G9" i="1"/>
  <c r="F9" i="1"/>
  <c r="Q8" i="1"/>
  <c r="P8" i="1"/>
  <c r="O8" i="1"/>
  <c r="N8" i="1"/>
  <c r="M8" i="1"/>
  <c r="L8" i="1"/>
  <c r="K8" i="1"/>
  <c r="J8" i="1"/>
  <c r="I8" i="1"/>
  <c r="H8" i="1"/>
  <c r="G8" i="1"/>
  <c r="F8" i="1"/>
</calcChain>
</file>

<file path=xl/sharedStrings.xml><?xml version="1.0" encoding="utf-8"?>
<sst xmlns="http://schemas.openxmlformats.org/spreadsheetml/2006/main" count="15" uniqueCount="15">
  <si>
    <t>CARGA(P.U.DEMANDA MED.)</t>
  </si>
  <si>
    <t>DEMANDA DE ENERGIA</t>
  </si>
  <si>
    <t>XXXJAN.</t>
  </si>
  <si>
    <t>XXXFEV.</t>
  </si>
  <si>
    <t>XXXMAR.</t>
  </si>
  <si>
    <t>XXXABR.</t>
  </si>
  <si>
    <t>XXXMAI.</t>
  </si>
  <si>
    <t>XXXJUN.</t>
  </si>
  <si>
    <t>XXXJUL.</t>
  </si>
  <si>
    <t>XXXAGO.</t>
  </si>
  <si>
    <t>XXXSET.</t>
  </si>
  <si>
    <t>XXXOUT.</t>
  </si>
  <si>
    <t>XXXNOV.</t>
  </si>
  <si>
    <t>XXXDEZ.</t>
  </si>
  <si>
    <t>Sistema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</si>
</sst>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11">
    <xf numFmtId="0" fontId="0" fillId="0" borderId="0" xfId="0"/>
    <xf numFmtId="17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vertical="center"/>
    </xf>
    <xf numFmtId="0" fontId="2" fillId="3" borderId="0" xfId="0" applyFont="1" applyFill="1" applyAlignment="1">
      <alignment horizontal="center"/>
    </xf>
    <xf numFmtId="0" fontId="3" fillId="0" borderId="1" xfId="0" applyFont="1" applyBorder="1" applyAlignment="1">
      <alignment vertical="center"/>
    </xf>
    <xf numFmtId="0" fontId="2" fillId="4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2" borderId="0" xfId="0" applyFill="1"/>
    <xf numFmtId="1" fontId="0" fillId="0" borderId="0" xfId="0" applyNumberFormat="1"/>
    <xf numFmtId="0" fontId="1" fillId="0" borderId="0" xfId="1" applyFont="1"/>
  </cellXfs>
  <cellStyles count="2">
    <cellStyle name="Normal" xfId="0" builtinId="0"/>
    <cellStyle name="Normal 4" xfId="1" xr:uid="{6F28FF4B-9EF3-4029-AF61-93756C203C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6287E-5306-43AF-9B42-BA3C78F3D6D1}">
  <dimension ref="D1:Q18"/>
  <sheetViews>
    <sheetView tabSelected="1" workbookViewId="0">
      <selection activeCell="F4" sqref="F4:Q4"/>
    </sheetView>
  </sheetViews>
  <sheetFormatPr defaultRowHeight="14.4" x14ac:dyDescent="0.3"/>
  <cols>
    <col min="6" max="6" width="9.5546875" bestFit="1" customWidth="1"/>
  </cols>
  <sheetData>
    <row r="1" spans="4:17" x14ac:dyDescent="0.3">
      <c r="D1" s="6" t="s">
        <v>1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2" spans="4:17" x14ac:dyDescent="0.3">
      <c r="F2" s="7" t="s">
        <v>2</v>
      </c>
      <c r="G2" s="7" t="s">
        <v>3</v>
      </c>
      <c r="H2" s="7" t="s">
        <v>4</v>
      </c>
      <c r="I2" s="7" t="s">
        <v>5</v>
      </c>
      <c r="J2" s="7" t="s">
        <v>6</v>
      </c>
      <c r="K2" s="7" t="s">
        <v>7</v>
      </c>
      <c r="L2" s="7" t="s">
        <v>8</v>
      </c>
      <c r="M2" s="7" t="s">
        <v>9</v>
      </c>
      <c r="N2" s="7" t="s">
        <v>10</v>
      </c>
      <c r="O2" s="7" t="s">
        <v>11</v>
      </c>
      <c r="P2" s="7" t="s">
        <v>12</v>
      </c>
      <c r="Q2" s="7" t="s">
        <v>13</v>
      </c>
    </row>
    <row r="3" spans="4:17" x14ac:dyDescent="0.3">
      <c r="D3" s="8" t="s">
        <v>14</v>
      </c>
      <c r="E3">
        <v>1</v>
      </c>
    </row>
    <row r="4" spans="4:17" x14ac:dyDescent="0.3">
      <c r="D4" s="9">
        <v>1</v>
      </c>
      <c r="E4">
        <v>2024</v>
      </c>
      <c r="F4" s="10">
        <v>38284</v>
      </c>
      <c r="G4" s="10">
        <v>38033</v>
      </c>
      <c r="H4" s="10">
        <v>37791</v>
      </c>
      <c r="I4" s="10">
        <v>33828</v>
      </c>
      <c r="J4" s="10">
        <v>31633</v>
      </c>
      <c r="K4" s="10">
        <v>31015</v>
      </c>
      <c r="L4" s="10">
        <v>30757</v>
      </c>
      <c r="M4" s="10">
        <v>31499</v>
      </c>
      <c r="N4" s="10">
        <v>33600</v>
      </c>
      <c r="O4" s="10">
        <v>34313</v>
      </c>
      <c r="P4" s="10">
        <v>34113</v>
      </c>
      <c r="Q4" s="10">
        <v>35352</v>
      </c>
    </row>
    <row r="7" spans="4:17" x14ac:dyDescent="0.3">
      <c r="E7" s="1">
        <v>45292</v>
      </c>
    </row>
    <row r="8" spans="4:17" x14ac:dyDescent="0.3">
      <c r="D8" s="2">
        <v>1</v>
      </c>
      <c r="E8" s="3">
        <v>1.37E-2</v>
      </c>
      <c r="F8" s="9">
        <f>F$4*$E8</f>
        <v>524.49080000000004</v>
      </c>
      <c r="G8" s="9">
        <f t="shared" ref="G8:Q11" si="0">G$4*$E8</f>
        <v>521.0521</v>
      </c>
      <c r="H8" s="9">
        <f t="shared" si="0"/>
        <v>517.73670000000004</v>
      </c>
      <c r="I8" s="9">
        <f t="shared" si="0"/>
        <v>463.4436</v>
      </c>
      <c r="J8" s="9">
        <f t="shared" si="0"/>
        <v>433.37209999999999</v>
      </c>
      <c r="K8" s="9">
        <f t="shared" si="0"/>
        <v>424.90550000000002</v>
      </c>
      <c r="L8" s="9">
        <f t="shared" si="0"/>
        <v>421.37090000000001</v>
      </c>
      <c r="M8" s="9">
        <f t="shared" si="0"/>
        <v>431.53630000000004</v>
      </c>
      <c r="N8" s="9">
        <f t="shared" si="0"/>
        <v>460.32</v>
      </c>
      <c r="O8" s="9">
        <f t="shared" si="0"/>
        <v>470.0881</v>
      </c>
      <c r="P8" s="9">
        <f t="shared" si="0"/>
        <v>467.34809999999999</v>
      </c>
      <c r="Q8" s="9">
        <f t="shared" si="0"/>
        <v>484.32240000000002</v>
      </c>
    </row>
    <row r="9" spans="4:17" x14ac:dyDescent="0.3">
      <c r="D9" s="2">
        <v>2</v>
      </c>
      <c r="E9" s="3">
        <v>0.36349999999999999</v>
      </c>
      <c r="F9" s="9">
        <f t="shared" ref="F9:Q11" si="1">F$4*$E9</f>
        <v>13916.234</v>
      </c>
      <c r="G9" s="9">
        <f t="shared" si="0"/>
        <v>13824.995499999999</v>
      </c>
      <c r="H9" s="9">
        <f t="shared" si="0"/>
        <v>13737.0285</v>
      </c>
      <c r="I9" s="9">
        <f t="shared" si="0"/>
        <v>12296.477999999999</v>
      </c>
      <c r="J9" s="9">
        <f t="shared" si="0"/>
        <v>11498.595499999999</v>
      </c>
      <c r="K9" s="9">
        <f t="shared" si="0"/>
        <v>11273.952499999999</v>
      </c>
      <c r="L9" s="9">
        <f t="shared" si="0"/>
        <v>11180.1695</v>
      </c>
      <c r="M9" s="9">
        <f t="shared" si="0"/>
        <v>11449.886500000001</v>
      </c>
      <c r="N9" s="9">
        <f t="shared" si="0"/>
        <v>12213.6</v>
      </c>
      <c r="O9" s="9">
        <f t="shared" si="0"/>
        <v>12472.7755</v>
      </c>
      <c r="P9" s="9">
        <f t="shared" si="0"/>
        <v>12400.075499999999</v>
      </c>
      <c r="Q9" s="9">
        <f t="shared" si="0"/>
        <v>12850.451999999999</v>
      </c>
    </row>
    <row r="10" spans="4:17" x14ac:dyDescent="0.3">
      <c r="D10" s="2">
        <v>3</v>
      </c>
      <c r="E10" s="3">
        <v>0.46920000000000001</v>
      </c>
      <c r="F10" s="9">
        <f t="shared" si="1"/>
        <v>17962.852800000001</v>
      </c>
      <c r="G10" s="9">
        <f t="shared" si="0"/>
        <v>17845.083600000002</v>
      </c>
      <c r="H10" s="9">
        <f t="shared" si="0"/>
        <v>17731.537199999999</v>
      </c>
      <c r="I10" s="9">
        <f t="shared" si="0"/>
        <v>15872.097600000001</v>
      </c>
      <c r="J10" s="9">
        <f t="shared" si="0"/>
        <v>14842.203600000001</v>
      </c>
      <c r="K10" s="9">
        <f t="shared" si="0"/>
        <v>14552.237999999999</v>
      </c>
      <c r="L10" s="9">
        <f t="shared" si="0"/>
        <v>14431.1844</v>
      </c>
      <c r="M10" s="9">
        <f t="shared" si="0"/>
        <v>14779.3308</v>
      </c>
      <c r="N10" s="9">
        <f t="shared" si="0"/>
        <v>15765.12</v>
      </c>
      <c r="O10" s="9">
        <f t="shared" si="0"/>
        <v>16099.659600000001</v>
      </c>
      <c r="P10" s="9">
        <f t="shared" si="0"/>
        <v>16005.819600000001</v>
      </c>
      <c r="Q10" s="9">
        <f t="shared" si="0"/>
        <v>16587.1584</v>
      </c>
    </row>
    <row r="11" spans="4:17" x14ac:dyDescent="0.3">
      <c r="D11" s="2">
        <v>4</v>
      </c>
      <c r="E11" s="3">
        <v>0.15359999999999999</v>
      </c>
      <c r="F11" s="9">
        <f t="shared" si="1"/>
        <v>5880.4223999999995</v>
      </c>
      <c r="G11" s="9">
        <f t="shared" si="0"/>
        <v>5841.8687999999993</v>
      </c>
      <c r="H11" s="9">
        <f t="shared" si="0"/>
        <v>5804.6975999999995</v>
      </c>
      <c r="I11" s="9">
        <f t="shared" si="0"/>
        <v>5195.9807999999994</v>
      </c>
      <c r="J11" s="9">
        <f t="shared" si="0"/>
        <v>4858.8287999999993</v>
      </c>
      <c r="K11" s="9">
        <f t="shared" si="0"/>
        <v>4763.9039999999995</v>
      </c>
      <c r="L11" s="9">
        <f t="shared" si="0"/>
        <v>4724.2752</v>
      </c>
      <c r="M11" s="9">
        <f t="shared" si="0"/>
        <v>4838.2464</v>
      </c>
      <c r="N11" s="9">
        <f t="shared" si="0"/>
        <v>5160.9599999999991</v>
      </c>
      <c r="O11" s="9">
        <f t="shared" si="0"/>
        <v>5270.4767999999995</v>
      </c>
      <c r="P11" s="9">
        <f t="shared" si="0"/>
        <v>5239.7567999999992</v>
      </c>
      <c r="Q11" s="9">
        <f t="shared" si="0"/>
        <v>5430.0671999999995</v>
      </c>
    </row>
    <row r="13" spans="4:17" x14ac:dyDescent="0.3">
      <c r="D13" t="s">
        <v>0</v>
      </c>
    </row>
    <row r="14" spans="4:17" x14ac:dyDescent="0.3">
      <c r="D14" s="4">
        <v>1</v>
      </c>
      <c r="E14" s="1">
        <v>45292</v>
      </c>
    </row>
    <row r="15" spans="4:17" x14ac:dyDescent="0.3">
      <c r="D15" s="2">
        <v>1</v>
      </c>
      <c r="E15" s="5">
        <v>1.3753</v>
      </c>
      <c r="F15" s="9">
        <f>$E15*F8</f>
        <v>721.33219724000003</v>
      </c>
      <c r="G15" s="9">
        <f t="shared" ref="G15:Q15" si="2">$E15*G8</f>
        <v>716.60295312999995</v>
      </c>
      <c r="H15" s="9">
        <f t="shared" si="2"/>
        <v>712.04328351000004</v>
      </c>
      <c r="I15" s="9">
        <f t="shared" si="2"/>
        <v>637.37398308000002</v>
      </c>
      <c r="J15" s="9">
        <f t="shared" si="2"/>
        <v>596.01664913000002</v>
      </c>
      <c r="K15" s="9">
        <f t="shared" si="2"/>
        <v>584.37253414999998</v>
      </c>
      <c r="L15" s="9">
        <f t="shared" si="2"/>
        <v>579.51139877000003</v>
      </c>
      <c r="M15" s="9">
        <f t="shared" si="2"/>
        <v>593.49187339000002</v>
      </c>
      <c r="N15" s="9">
        <f t="shared" si="2"/>
        <v>633.07809599999996</v>
      </c>
      <c r="O15" s="9">
        <f t="shared" si="2"/>
        <v>646.51216392999993</v>
      </c>
      <c r="P15" s="9">
        <f t="shared" si="2"/>
        <v>642.74384192999992</v>
      </c>
      <c r="Q15" s="9">
        <f t="shared" si="2"/>
        <v>666.08859672000006</v>
      </c>
    </row>
    <row r="16" spans="4:17" x14ac:dyDescent="0.3">
      <c r="D16" s="2">
        <v>2</v>
      </c>
      <c r="E16" s="5">
        <v>1.1469</v>
      </c>
      <c r="F16" s="9">
        <f t="shared" ref="F16:Q16" si="3">$E16*F9</f>
        <v>15960.528774600001</v>
      </c>
      <c r="G16" s="9">
        <f t="shared" si="3"/>
        <v>15855.887338949999</v>
      </c>
      <c r="H16" s="9">
        <f t="shared" si="3"/>
        <v>15754.997986650002</v>
      </c>
      <c r="I16" s="9">
        <f t="shared" si="3"/>
        <v>14102.8306182</v>
      </c>
      <c r="J16" s="9">
        <f t="shared" si="3"/>
        <v>13187.73917895</v>
      </c>
      <c r="K16" s="9">
        <f t="shared" si="3"/>
        <v>12930.096122249999</v>
      </c>
      <c r="L16" s="9">
        <f t="shared" si="3"/>
        <v>12822.536399550001</v>
      </c>
      <c r="M16" s="9">
        <f t="shared" si="3"/>
        <v>13131.87482685</v>
      </c>
      <c r="N16" s="9">
        <f t="shared" si="3"/>
        <v>14007.777840000001</v>
      </c>
      <c r="O16" s="9">
        <f t="shared" si="3"/>
        <v>14305.02622095</v>
      </c>
      <c r="P16" s="9">
        <f t="shared" si="3"/>
        <v>14221.646590949998</v>
      </c>
      <c r="Q16" s="9">
        <f t="shared" si="3"/>
        <v>14738.1833988</v>
      </c>
    </row>
    <row r="17" spans="4:17" x14ac:dyDescent="0.3">
      <c r="D17" s="2">
        <v>3</v>
      </c>
      <c r="E17" s="5">
        <v>0.96589999999999998</v>
      </c>
      <c r="F17" s="9">
        <f t="shared" ref="F17:Q17" si="4">$E17*F10</f>
        <v>17350.319519519999</v>
      </c>
      <c r="G17" s="9">
        <f t="shared" si="4"/>
        <v>17236.566249240001</v>
      </c>
      <c r="H17" s="9">
        <f t="shared" si="4"/>
        <v>17126.891781479997</v>
      </c>
      <c r="I17" s="9">
        <f t="shared" si="4"/>
        <v>15330.859071840001</v>
      </c>
      <c r="J17" s="9">
        <f t="shared" si="4"/>
        <v>14336.08445724</v>
      </c>
      <c r="K17" s="9">
        <f t="shared" si="4"/>
        <v>14056.0066842</v>
      </c>
      <c r="L17" s="9">
        <f t="shared" si="4"/>
        <v>13939.081011959999</v>
      </c>
      <c r="M17" s="9">
        <f t="shared" si="4"/>
        <v>14275.35561972</v>
      </c>
      <c r="N17" s="9">
        <f t="shared" si="4"/>
        <v>15227.529408</v>
      </c>
      <c r="O17" s="9">
        <f t="shared" si="4"/>
        <v>15550.66120764</v>
      </c>
      <c r="P17" s="9">
        <f t="shared" si="4"/>
        <v>15460.02115164</v>
      </c>
      <c r="Q17" s="9">
        <f t="shared" si="4"/>
        <v>16021.53629856</v>
      </c>
    </row>
    <row r="18" spans="4:17" x14ac:dyDescent="0.3">
      <c r="D18" s="2">
        <v>4</v>
      </c>
      <c r="E18" s="5">
        <v>0.72309999999999997</v>
      </c>
      <c r="F18" s="9">
        <f t="shared" ref="F18:Q18" si="5">$E18*F11</f>
        <v>4252.1334374399994</v>
      </c>
      <c r="G18" s="9">
        <f t="shared" si="5"/>
        <v>4224.2553292799994</v>
      </c>
      <c r="H18" s="9">
        <f t="shared" si="5"/>
        <v>4197.3768345599992</v>
      </c>
      <c r="I18" s="9">
        <f t="shared" si="5"/>
        <v>3757.2137164799992</v>
      </c>
      <c r="J18" s="9">
        <f t="shared" si="5"/>
        <v>3513.4191052799993</v>
      </c>
      <c r="K18" s="9">
        <f t="shared" si="5"/>
        <v>3444.7789823999997</v>
      </c>
      <c r="L18" s="9">
        <f t="shared" si="5"/>
        <v>3416.1233971199999</v>
      </c>
      <c r="M18" s="9">
        <f t="shared" si="5"/>
        <v>3498.53597184</v>
      </c>
      <c r="N18" s="9">
        <f t="shared" si="5"/>
        <v>3731.890175999999</v>
      </c>
      <c r="O18" s="9">
        <f t="shared" si="5"/>
        <v>3811.0817740799994</v>
      </c>
      <c r="P18" s="9">
        <f t="shared" si="5"/>
        <v>3788.8681420799994</v>
      </c>
      <c r="Q18" s="9">
        <f t="shared" si="5"/>
        <v>3926.4815923199994</v>
      </c>
    </row>
  </sheetData>
  <mergeCells count="1">
    <mergeCell ref="D1:Q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Veiga Velasco</dc:creator>
  <cp:lastModifiedBy>Jonathan Veiga Velasco</cp:lastModifiedBy>
  <dcterms:created xsi:type="dcterms:W3CDTF">2026-05-24T22:56:10Z</dcterms:created>
  <dcterms:modified xsi:type="dcterms:W3CDTF">2026-05-24T23:02:31Z</dcterms:modified>
</cp:coreProperties>
</file>