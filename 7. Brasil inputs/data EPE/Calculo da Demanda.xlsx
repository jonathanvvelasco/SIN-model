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SIN-model\7. Brasil inputs\data EPE\"/>
    </mc:Choice>
  </mc:AlternateContent>
  <xr:revisionPtr revIDLastSave="0" documentId="13_ncr:1_{74704061-8152-4A8E-9D3B-C531A7CE8CD3}" xr6:coauthVersionLast="47" xr6:coauthVersionMax="47" xr10:uidLastSave="{00000000-0000-0000-0000-000000000000}"/>
  <bookViews>
    <workbookView xWindow="28680" yWindow="-120" windowWidth="29040" windowHeight="15720" xr2:uid="{F804509D-198A-416F-8845-EE03261C4E2A}"/>
  </bookViews>
  <sheets>
    <sheet name="Planilha3" sheetId="3" r:id="rId1"/>
    <sheet name="Planilha1" sheetId="1" r:id="rId2"/>
  </sheets>
  <calcPr calcId="191029"/>
  <pivotCaches>
    <pivotCache cacheId="3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64" i="1" l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Q11" i="1"/>
  <c r="Q18" i="1" s="1"/>
  <c r="P11" i="1"/>
  <c r="P18" i="1" s="1"/>
  <c r="O11" i="1"/>
  <c r="O18" i="1" s="1"/>
  <c r="N11" i="1"/>
  <c r="N18" i="1" s="1"/>
  <c r="M11" i="1"/>
  <c r="M18" i="1" s="1"/>
  <c r="L11" i="1"/>
  <c r="L18" i="1" s="1"/>
  <c r="K11" i="1"/>
  <c r="K18" i="1" s="1"/>
  <c r="J11" i="1"/>
  <c r="J18" i="1" s="1"/>
  <c r="I11" i="1"/>
  <c r="I18" i="1" s="1"/>
  <c r="H11" i="1"/>
  <c r="H18" i="1" s="1"/>
  <c r="G11" i="1"/>
  <c r="G18" i="1" s="1"/>
  <c r="F11" i="1"/>
  <c r="F18" i="1" s="1"/>
  <c r="Q10" i="1"/>
  <c r="Q17" i="1" s="1"/>
  <c r="P10" i="1"/>
  <c r="P17" i="1" s="1"/>
  <c r="O10" i="1"/>
  <c r="O17" i="1" s="1"/>
  <c r="N10" i="1"/>
  <c r="N17" i="1" s="1"/>
  <c r="M10" i="1"/>
  <c r="M17" i="1" s="1"/>
  <c r="L10" i="1"/>
  <c r="L17" i="1" s="1"/>
  <c r="K10" i="1"/>
  <c r="K17" i="1" s="1"/>
  <c r="J10" i="1"/>
  <c r="J17" i="1" s="1"/>
  <c r="I10" i="1"/>
  <c r="I17" i="1" s="1"/>
  <c r="H10" i="1"/>
  <c r="H17" i="1" s="1"/>
  <c r="G10" i="1"/>
  <c r="G17" i="1" s="1"/>
  <c r="F10" i="1"/>
  <c r="F17" i="1" s="1"/>
  <c r="Q9" i="1"/>
  <c r="Q16" i="1" s="1"/>
  <c r="P9" i="1"/>
  <c r="P16" i="1" s="1"/>
  <c r="O9" i="1"/>
  <c r="O16" i="1" s="1"/>
  <c r="N9" i="1"/>
  <c r="N16" i="1" s="1"/>
  <c r="M9" i="1"/>
  <c r="M16" i="1" s="1"/>
  <c r="L9" i="1"/>
  <c r="L16" i="1" s="1"/>
  <c r="K9" i="1"/>
  <c r="K16" i="1" s="1"/>
  <c r="J9" i="1"/>
  <c r="J16" i="1" s="1"/>
  <c r="I9" i="1"/>
  <c r="I16" i="1" s="1"/>
  <c r="H9" i="1"/>
  <c r="H16" i="1" s="1"/>
  <c r="G9" i="1"/>
  <c r="G16" i="1" s="1"/>
  <c r="F9" i="1"/>
  <c r="F16" i="1" s="1"/>
  <c r="Q8" i="1"/>
  <c r="Q15" i="1" s="1"/>
  <c r="P8" i="1"/>
  <c r="P15" i="1" s="1"/>
  <c r="O8" i="1"/>
  <c r="O15" i="1" s="1"/>
  <c r="N8" i="1"/>
  <c r="N15" i="1" s="1"/>
  <c r="M8" i="1"/>
  <c r="M15" i="1" s="1"/>
  <c r="L8" i="1"/>
  <c r="L15" i="1" s="1"/>
  <c r="K8" i="1"/>
  <c r="K15" i="1" s="1"/>
  <c r="J8" i="1"/>
  <c r="J15" i="1" s="1"/>
  <c r="I8" i="1"/>
  <c r="I15" i="1" s="1"/>
  <c r="H8" i="1"/>
  <c r="H15" i="1" s="1"/>
  <c r="G8" i="1"/>
  <c r="G15" i="1" s="1"/>
  <c r="F8" i="1"/>
  <c r="F15" i="1" s="1"/>
</calcChain>
</file>

<file path=xl/sharedStrings.xml><?xml version="1.0" encoding="utf-8"?>
<sst xmlns="http://schemas.openxmlformats.org/spreadsheetml/2006/main" count="91" uniqueCount="30">
  <si>
    <t>CARGA(P.U.DEMANDA MED.)</t>
  </si>
  <si>
    <t>DEMANDA DE ENERGIA</t>
  </si>
  <si>
    <t>XXXJAN.</t>
  </si>
  <si>
    <t>XXXFEV.</t>
  </si>
  <si>
    <t>XXXMAR.</t>
  </si>
  <si>
    <t>XXXABR.</t>
  </si>
  <si>
    <t>XXXMAI.</t>
  </si>
  <si>
    <t>XXXJUN.</t>
  </si>
  <si>
    <t>XXXJUL.</t>
  </si>
  <si>
    <t>XXXAGO.</t>
  </si>
  <si>
    <t>XXXSET.</t>
  </si>
  <si>
    <t>XXXOUT.</t>
  </si>
  <si>
    <t>XXXNOV.</t>
  </si>
  <si>
    <t>XXXDEZ.</t>
  </si>
  <si>
    <t>Sistema 1</t>
  </si>
  <si>
    <t>sistema</t>
  </si>
  <si>
    <t>ano</t>
  </si>
  <si>
    <t>Southeast</t>
  </si>
  <si>
    <t>North</t>
  </si>
  <si>
    <t>Northeast</t>
  </si>
  <si>
    <t>South</t>
  </si>
  <si>
    <t>demanda</t>
  </si>
  <si>
    <t>Soma de demanda</t>
  </si>
  <si>
    <t>Rótulos de Coluna</t>
  </si>
  <si>
    <t>Total Geral</t>
  </si>
  <si>
    <t>Rótulos de Linha</t>
  </si>
  <si>
    <t>MWh</t>
  </si>
  <si>
    <t>MWm</t>
  </si>
  <si>
    <t>GWh</t>
  </si>
  <si>
    <t>GWm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</si>
</sst>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17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0" fillId="2" borderId="0" xfId="0" applyFill="1"/>
    <xf numFmtId="1" fontId="0" fillId="0" borderId="0" xfId="0" applyNumberFormat="1"/>
    <xf numFmtId="0" fontId="1" fillId="0" borderId="0" xfId="1" applyFont="1"/>
    <xf numFmtId="0" fontId="2" fillId="4" borderId="0" xfId="0" applyFont="1" applyFill="1" applyAlignment="1">
      <alignment horizont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9" fontId="0" fillId="0" borderId="0" xfId="0" applyNumberFormat="1"/>
    <xf numFmtId="0" fontId="5" fillId="0" borderId="0" xfId="0" applyFont="1"/>
    <xf numFmtId="0" fontId="0" fillId="0" borderId="0" xfId="0" applyFont="1"/>
  </cellXfs>
  <cellStyles count="2">
    <cellStyle name="Normal" xfId="0" builtinId="0"/>
    <cellStyle name="Normal 4" xfId="1" xr:uid="{6F28FF4B-9EF3-4029-AF61-93756C203C97}"/>
  </cellStyles>
  <dxfs count="14"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8" formatCode="_-* #,##0.0_-;\-* #,##0.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8" formatCode="_-* #,##0.0_-;\-* #,##0.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9" formatCode="_-* #,##0_-;\-* #,##0_-;_-* &quot;-&quot;??_-;_-@_-"/>
    </dxf>
    <dxf>
      <numFmt numFmtId="168" formatCode="_-* #,##0.0_-;\-* #,##0.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[Calculo da Demanda.xlsx]Planilha3!Tabela dinâmica2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Planilha3!$B$3:$B$4</c:f>
              <c:strCache>
                <c:ptCount val="1"/>
                <c:pt idx="0">
                  <c:v>North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Planilha3!$B$5:$B$20</c:f>
              <c:numCache>
                <c:formatCode>_-* #,##0_-;\-* #,##0_-;_-* "-"??_-;_-@_-</c:formatCode>
                <c:ptCount val="15"/>
                <c:pt idx="0">
                  <c:v>9.1326716860597763</c:v>
                </c:pt>
                <c:pt idx="1">
                  <c:v>9.5155144877937481</c:v>
                </c:pt>
                <c:pt idx="2">
                  <c:v>10.049965776865161</c:v>
                </c:pt>
                <c:pt idx="3">
                  <c:v>10.302874743326489</c:v>
                </c:pt>
                <c:pt idx="4">
                  <c:v>10.603924252794888</c:v>
                </c:pt>
                <c:pt idx="5">
                  <c:v>10.996577686516085</c:v>
                </c:pt>
                <c:pt idx="6">
                  <c:v>11.413757700205338</c:v>
                </c:pt>
                <c:pt idx="7">
                  <c:v>11.723248916267396</c:v>
                </c:pt>
                <c:pt idx="8">
                  <c:v>12.043919689710243</c:v>
                </c:pt>
                <c:pt idx="9">
                  <c:v>12.480949121606207</c:v>
                </c:pt>
                <c:pt idx="10">
                  <c:v>12.800365046771617</c:v>
                </c:pt>
                <c:pt idx="11">
                  <c:v>13.139858544375999</c:v>
                </c:pt>
                <c:pt idx="12">
                  <c:v>13.509468400638832</c:v>
                </c:pt>
                <c:pt idx="13">
                  <c:v>13.889915582934064</c:v>
                </c:pt>
                <c:pt idx="14">
                  <c:v>14.272644307551905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9-49EA-832D-23380CC4B966}"/>
            </c:ext>
          </c:extLst>
        </c:ser>
        <c:ser>
          <c:idx val="1"/>
          <c:order val="1"/>
          <c:tx>
            <c:strRef>
              <c:f>Planilha3!$C$3:$C$4</c:f>
              <c:strCache>
                <c:ptCount val="1"/>
                <c:pt idx="0">
                  <c:v>Northeast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Planilha3!$C$5:$C$20</c:f>
              <c:numCache>
                <c:formatCode>_-* #,##0_-;\-* #,##0_-;_-* "-"??_-;_-@_-</c:formatCode>
                <c:ptCount val="15"/>
                <c:pt idx="0">
                  <c:v>21.982432124115903</c:v>
                </c:pt>
                <c:pt idx="1">
                  <c:v>21.727469769564223</c:v>
                </c:pt>
                <c:pt idx="2">
                  <c:v>21.70784850558978</c:v>
                </c:pt>
                <c:pt idx="3">
                  <c:v>21.870978781656401</c:v>
                </c:pt>
                <c:pt idx="4">
                  <c:v>22.066735112936346</c:v>
                </c:pt>
                <c:pt idx="5">
                  <c:v>22.434747889573348</c:v>
                </c:pt>
                <c:pt idx="6">
                  <c:v>22.684804928131417</c:v>
                </c:pt>
                <c:pt idx="7">
                  <c:v>22.995665069587044</c:v>
                </c:pt>
                <c:pt idx="8">
                  <c:v>23.33504449007529</c:v>
                </c:pt>
                <c:pt idx="9">
                  <c:v>23.700205338809038</c:v>
                </c:pt>
                <c:pt idx="10">
                  <c:v>24.103353867214238</c:v>
                </c:pt>
                <c:pt idx="11">
                  <c:v>24.528519279032626</c:v>
                </c:pt>
                <c:pt idx="12">
                  <c:v>25.014145562400184</c:v>
                </c:pt>
                <c:pt idx="13">
                  <c:v>25.555555555555557</c:v>
                </c:pt>
                <c:pt idx="14">
                  <c:v>26.134953228382386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59-49EA-832D-23380CC4B966}"/>
            </c:ext>
          </c:extLst>
        </c:ser>
        <c:ser>
          <c:idx val="2"/>
          <c:order val="2"/>
          <c:tx>
            <c:strRef>
              <c:f>Planilha3!$D$3:$D$4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Planilha3!$D$5:$D$20</c:f>
              <c:numCache>
                <c:formatCode>_-* #,##0_-;\-* #,##0_-;_-* "-"??_-;_-@_-</c:formatCode>
                <c:ptCount val="15"/>
                <c:pt idx="0">
                  <c:v>13.879534565366187</c:v>
                </c:pt>
                <c:pt idx="1">
                  <c:v>14.189025781428244</c:v>
                </c:pt>
                <c:pt idx="2">
                  <c:v>14.669404517453799</c:v>
                </c:pt>
                <c:pt idx="3">
                  <c:v>15.204996577686515</c:v>
                </c:pt>
                <c:pt idx="4">
                  <c:v>15.82569016655259</c:v>
                </c:pt>
                <c:pt idx="5">
                  <c:v>16.472735569244808</c:v>
                </c:pt>
                <c:pt idx="6">
                  <c:v>17.125941136208077</c:v>
                </c:pt>
                <c:pt idx="7">
                  <c:v>17.822381930184804</c:v>
                </c:pt>
                <c:pt idx="8">
                  <c:v>18.533082363677845</c:v>
                </c:pt>
                <c:pt idx="9">
                  <c:v>19.300365046771617</c:v>
                </c:pt>
                <c:pt idx="10">
                  <c:v>20.083390371891401</c:v>
                </c:pt>
                <c:pt idx="11">
                  <c:v>20.854209445585216</c:v>
                </c:pt>
                <c:pt idx="12">
                  <c:v>21.688797627195985</c:v>
                </c:pt>
                <c:pt idx="13">
                  <c:v>22.546315309148984</c:v>
                </c:pt>
                <c:pt idx="14">
                  <c:v>23.364704540269219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59-49EA-832D-23380CC4B966}"/>
            </c:ext>
          </c:extLst>
        </c:ser>
        <c:ser>
          <c:idx val="3"/>
          <c:order val="3"/>
          <c:tx>
            <c:strRef>
              <c:f>Planilha3!$E$3:$E$4</c:f>
              <c:strCache>
                <c:ptCount val="1"/>
                <c:pt idx="0">
                  <c:v>Southeast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Planilha3!$A$5:$A$20</c:f>
              <c:strCache>
                <c:ptCount val="1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</c:strCache>
            </c:strRef>
          </c:cat>
          <c:val>
            <c:numRef>
              <c:f>Planilha3!$E$5:$E$20</c:f>
              <c:numCache>
                <c:formatCode>_-* #,##0_-;\-* #,##0_-;_-* "-"??_-;_-@_-</c:formatCode>
                <c:ptCount val="15"/>
                <c:pt idx="0">
                  <c:v>50.312571298197582</c:v>
                </c:pt>
                <c:pt idx="1">
                  <c:v>50.925507643166782</c:v>
                </c:pt>
                <c:pt idx="2">
                  <c:v>52.42961441934748</c:v>
                </c:pt>
                <c:pt idx="3">
                  <c:v>54.183093771389458</c:v>
                </c:pt>
                <c:pt idx="4">
                  <c:v>56.141341546885691</c:v>
                </c:pt>
                <c:pt idx="5">
                  <c:v>58.090691307323745</c:v>
                </c:pt>
                <c:pt idx="6">
                  <c:v>60.084074834588186</c:v>
                </c:pt>
                <c:pt idx="7">
                  <c:v>62.253479352041978</c:v>
                </c:pt>
                <c:pt idx="8">
                  <c:v>64.476386036960989</c:v>
                </c:pt>
                <c:pt idx="9">
                  <c:v>66.846566278804474</c:v>
                </c:pt>
                <c:pt idx="10">
                  <c:v>69.293406342687661</c:v>
                </c:pt>
                <c:pt idx="11">
                  <c:v>71.818503308236373</c:v>
                </c:pt>
                <c:pt idx="12">
                  <c:v>74.431895961670094</c:v>
                </c:pt>
                <c:pt idx="13">
                  <c:v>77.11419119324664</c:v>
                </c:pt>
                <c:pt idx="14">
                  <c:v>79.805612594113612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59-49EA-832D-23380CC4B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181216"/>
        <c:axId val="1737176896"/>
      </c:lineChart>
      <c:catAx>
        <c:axId val="173718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176896"/>
        <c:crosses val="autoZero"/>
        <c:auto val="1"/>
        <c:lblAlgn val="ctr"/>
        <c:lblOffset val="100"/>
        <c:noMultiLvlLbl val="0"/>
      </c:catAx>
      <c:valAx>
        <c:axId val="173717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1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6</xdr:row>
      <xdr:rowOff>12382</xdr:rowOff>
    </xdr:from>
    <xdr:to>
      <xdr:col>15</xdr:col>
      <xdr:colOff>510540</xdr:colOff>
      <xdr:row>21</xdr:row>
      <xdr:rowOff>37147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DA38C20-B2BD-D09E-2E2C-A6820EDED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" refreshedDate="46177.716128703702" createdVersion="8" refreshedVersion="8" minRefreshableVersion="3" recordCount="60" xr:uid="{D7DB77C5-56BA-4B0F-A01F-33DF7A158226}">
  <cacheSource type="worksheet">
    <worksheetSource ref="U4:W64" sheet="Planilha1"/>
  </cacheSource>
  <cacheFields count="3">
    <cacheField name="sistema" numFmtId="0">
      <sharedItems count="4">
        <s v="North"/>
        <s v="Northeast"/>
        <s v="South"/>
        <s v="Southeast"/>
      </sharedItems>
    </cacheField>
    <cacheField name="ano" numFmtId="0">
      <sharedItems containsSemiMixedTypes="0" containsString="0" containsNumber="1" containsInteger="1" minValue="2024" maxValue="2038" count="15"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</sharedItems>
    </cacheField>
    <cacheField name="demanda" numFmtId="0">
      <sharedItems containsSemiMixedTypes="0" containsString="0" containsNumber="1" minValue="9.1326716860597763" maxValue="79.8056125941136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9.1326716860597763"/>
  </r>
  <r>
    <x v="0"/>
    <x v="1"/>
    <n v="9.5155144877937481"/>
  </r>
  <r>
    <x v="0"/>
    <x v="2"/>
    <n v="10.049965776865161"/>
  </r>
  <r>
    <x v="0"/>
    <x v="3"/>
    <n v="10.302874743326489"/>
  </r>
  <r>
    <x v="0"/>
    <x v="4"/>
    <n v="10.603924252794888"/>
  </r>
  <r>
    <x v="0"/>
    <x v="5"/>
    <n v="10.996577686516085"/>
  </r>
  <r>
    <x v="0"/>
    <x v="6"/>
    <n v="11.413757700205338"/>
  </r>
  <r>
    <x v="0"/>
    <x v="7"/>
    <n v="11.723248916267396"/>
  </r>
  <r>
    <x v="0"/>
    <x v="8"/>
    <n v="12.043919689710243"/>
  </r>
  <r>
    <x v="0"/>
    <x v="9"/>
    <n v="12.480949121606207"/>
  </r>
  <r>
    <x v="0"/>
    <x v="10"/>
    <n v="12.800365046771617"/>
  </r>
  <r>
    <x v="0"/>
    <x v="11"/>
    <n v="13.139858544375999"/>
  </r>
  <r>
    <x v="0"/>
    <x v="12"/>
    <n v="13.509468400638832"/>
  </r>
  <r>
    <x v="0"/>
    <x v="13"/>
    <n v="13.889915582934064"/>
  </r>
  <r>
    <x v="0"/>
    <x v="14"/>
    <n v="14.272644307551905"/>
  </r>
  <r>
    <x v="1"/>
    <x v="0"/>
    <n v="21.982432124115903"/>
  </r>
  <r>
    <x v="1"/>
    <x v="1"/>
    <n v="21.727469769564223"/>
  </r>
  <r>
    <x v="1"/>
    <x v="2"/>
    <n v="21.70784850558978"/>
  </r>
  <r>
    <x v="1"/>
    <x v="3"/>
    <n v="21.870978781656401"/>
  </r>
  <r>
    <x v="1"/>
    <x v="4"/>
    <n v="22.066735112936346"/>
  </r>
  <r>
    <x v="1"/>
    <x v="5"/>
    <n v="22.434747889573348"/>
  </r>
  <r>
    <x v="1"/>
    <x v="6"/>
    <n v="22.684804928131417"/>
  </r>
  <r>
    <x v="1"/>
    <x v="7"/>
    <n v="22.995665069587044"/>
  </r>
  <r>
    <x v="1"/>
    <x v="8"/>
    <n v="23.33504449007529"/>
  </r>
  <r>
    <x v="1"/>
    <x v="9"/>
    <n v="23.700205338809038"/>
  </r>
  <r>
    <x v="1"/>
    <x v="10"/>
    <n v="24.103353867214238"/>
  </r>
  <r>
    <x v="1"/>
    <x v="11"/>
    <n v="24.528519279032626"/>
  </r>
  <r>
    <x v="1"/>
    <x v="12"/>
    <n v="25.014145562400184"/>
  </r>
  <r>
    <x v="1"/>
    <x v="13"/>
    <n v="25.555555555555557"/>
  </r>
  <r>
    <x v="1"/>
    <x v="14"/>
    <n v="26.134953228382386"/>
  </r>
  <r>
    <x v="2"/>
    <x v="0"/>
    <n v="13.879534565366187"/>
  </r>
  <r>
    <x v="2"/>
    <x v="1"/>
    <n v="14.189025781428244"/>
  </r>
  <r>
    <x v="2"/>
    <x v="2"/>
    <n v="14.669404517453799"/>
  </r>
  <r>
    <x v="2"/>
    <x v="3"/>
    <n v="15.204996577686515"/>
  </r>
  <r>
    <x v="2"/>
    <x v="4"/>
    <n v="15.82569016655259"/>
  </r>
  <r>
    <x v="2"/>
    <x v="5"/>
    <n v="16.472735569244808"/>
  </r>
  <r>
    <x v="2"/>
    <x v="6"/>
    <n v="17.125941136208077"/>
  </r>
  <r>
    <x v="2"/>
    <x v="7"/>
    <n v="17.822381930184804"/>
  </r>
  <r>
    <x v="2"/>
    <x v="8"/>
    <n v="18.533082363677845"/>
  </r>
  <r>
    <x v="2"/>
    <x v="9"/>
    <n v="19.300365046771617"/>
  </r>
  <r>
    <x v="2"/>
    <x v="10"/>
    <n v="20.083390371891401"/>
  </r>
  <r>
    <x v="2"/>
    <x v="11"/>
    <n v="20.854209445585216"/>
  </r>
  <r>
    <x v="2"/>
    <x v="12"/>
    <n v="21.688797627195985"/>
  </r>
  <r>
    <x v="2"/>
    <x v="13"/>
    <n v="22.546315309148984"/>
  </r>
  <r>
    <x v="2"/>
    <x v="14"/>
    <n v="23.364704540269219"/>
  </r>
  <r>
    <x v="3"/>
    <x v="0"/>
    <n v="50.312571298197582"/>
  </r>
  <r>
    <x v="3"/>
    <x v="1"/>
    <n v="50.925507643166782"/>
  </r>
  <r>
    <x v="3"/>
    <x v="2"/>
    <n v="52.42961441934748"/>
  </r>
  <r>
    <x v="3"/>
    <x v="3"/>
    <n v="54.183093771389458"/>
  </r>
  <r>
    <x v="3"/>
    <x v="4"/>
    <n v="56.141341546885691"/>
  </r>
  <r>
    <x v="3"/>
    <x v="5"/>
    <n v="58.090691307323745"/>
  </r>
  <r>
    <x v="3"/>
    <x v="6"/>
    <n v="60.084074834588186"/>
  </r>
  <r>
    <x v="3"/>
    <x v="7"/>
    <n v="62.253479352041978"/>
  </r>
  <r>
    <x v="3"/>
    <x v="8"/>
    <n v="64.476386036960989"/>
  </r>
  <r>
    <x v="3"/>
    <x v="9"/>
    <n v="66.846566278804474"/>
  </r>
  <r>
    <x v="3"/>
    <x v="10"/>
    <n v="69.293406342687661"/>
  </r>
  <r>
    <x v="3"/>
    <x v="11"/>
    <n v="71.818503308236373"/>
  </r>
  <r>
    <x v="3"/>
    <x v="12"/>
    <n v="74.431895961670094"/>
  </r>
  <r>
    <x v="3"/>
    <x v="13"/>
    <n v="77.11419119324664"/>
  </r>
  <r>
    <x v="3"/>
    <x v="14"/>
    <n v="79.8056125941136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B019A-4514-4C6B-AF51-2E882850318C}" name="Tabela dinâmica2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F20" firstHeaderRow="1" firstDataRow="2" firstDataCol="1"/>
  <pivotFields count="3">
    <pivotField axis="axisCol" showAll="0">
      <items count="5">
        <item x="0"/>
        <item x="1"/>
        <item x="2"/>
        <item x="3"/>
        <item t="default"/>
      </items>
    </pivotField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dataField="1"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oma de demanda" fld="2" baseField="0" baseItem="0"/>
  </dataFields>
  <formats count="1">
    <format dxfId="5">
      <pivotArea collapsedLevelsAreSubtotals="1" fieldPosition="0">
        <references count="1">
          <reference field="1" count="0"/>
        </references>
      </pivotArea>
    </format>
  </formats>
  <chartFormats count="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49C3-C936-4B91-B19C-2CEDCD2FFA02}">
  <dimension ref="A3:F20"/>
  <sheetViews>
    <sheetView tabSelected="1" workbookViewId="0">
      <selection activeCell="F28" sqref="F28"/>
    </sheetView>
  </sheetViews>
  <sheetFormatPr defaultRowHeight="14.4" x14ac:dyDescent="0.3"/>
  <cols>
    <col min="1" max="1" width="17.88671875" bestFit="1" customWidth="1"/>
    <col min="2" max="2" width="19.5546875" bestFit="1" customWidth="1"/>
    <col min="3" max="6" width="12" bestFit="1" customWidth="1"/>
  </cols>
  <sheetData>
    <row r="3" spans="1:6" x14ac:dyDescent="0.3">
      <c r="A3" s="12" t="s">
        <v>22</v>
      </c>
      <c r="B3" s="12" t="s">
        <v>23</v>
      </c>
    </row>
    <row r="4" spans="1:6" x14ac:dyDescent="0.3">
      <c r="A4" s="12" t="s">
        <v>25</v>
      </c>
      <c r="B4" t="s">
        <v>18</v>
      </c>
      <c r="C4" t="s">
        <v>19</v>
      </c>
      <c r="D4" t="s">
        <v>20</v>
      </c>
      <c r="E4" t="s">
        <v>17</v>
      </c>
      <c r="F4" t="s">
        <v>24</v>
      </c>
    </row>
    <row r="5" spans="1:6" x14ac:dyDescent="0.3">
      <c r="A5" s="13">
        <v>2024</v>
      </c>
      <c r="B5" s="14">
        <v>9.1326716860597763</v>
      </c>
      <c r="C5" s="14">
        <v>21.982432124115903</v>
      </c>
      <c r="D5" s="14">
        <v>13.879534565366187</v>
      </c>
      <c r="E5" s="14">
        <v>50.312571298197582</v>
      </c>
      <c r="F5" s="14">
        <v>95.30720967373945</v>
      </c>
    </row>
    <row r="6" spans="1:6" x14ac:dyDescent="0.3">
      <c r="A6" s="13">
        <v>2025</v>
      </c>
      <c r="B6" s="14">
        <v>9.5155144877937481</v>
      </c>
      <c r="C6" s="14">
        <v>21.727469769564223</v>
      </c>
      <c r="D6" s="14">
        <v>14.189025781428244</v>
      </c>
      <c r="E6" s="14">
        <v>50.925507643166782</v>
      </c>
      <c r="F6" s="14">
        <v>96.357517681952999</v>
      </c>
    </row>
    <row r="7" spans="1:6" x14ac:dyDescent="0.3">
      <c r="A7" s="13">
        <v>2026</v>
      </c>
      <c r="B7" s="14">
        <v>10.049965776865161</v>
      </c>
      <c r="C7" s="14">
        <v>21.70784850558978</v>
      </c>
      <c r="D7" s="14">
        <v>14.669404517453799</v>
      </c>
      <c r="E7" s="14">
        <v>52.42961441934748</v>
      </c>
      <c r="F7" s="14">
        <v>98.856833219256231</v>
      </c>
    </row>
    <row r="8" spans="1:6" x14ac:dyDescent="0.3">
      <c r="A8" s="13">
        <v>2027</v>
      </c>
      <c r="B8" s="14">
        <v>10.302874743326489</v>
      </c>
      <c r="C8" s="14">
        <v>21.870978781656401</v>
      </c>
      <c r="D8" s="14">
        <v>15.204996577686515</v>
      </c>
      <c r="E8" s="14">
        <v>54.183093771389458</v>
      </c>
      <c r="F8" s="14">
        <v>101.56194387405887</v>
      </c>
    </row>
    <row r="9" spans="1:6" x14ac:dyDescent="0.3">
      <c r="A9" s="13">
        <v>2028</v>
      </c>
      <c r="B9" s="14">
        <v>10.603924252794888</v>
      </c>
      <c r="C9" s="14">
        <v>22.066735112936346</v>
      </c>
      <c r="D9" s="14">
        <v>15.82569016655259</v>
      </c>
      <c r="E9" s="14">
        <v>56.141341546885691</v>
      </c>
      <c r="F9" s="14">
        <v>104.63769107916951</v>
      </c>
    </row>
    <row r="10" spans="1:6" x14ac:dyDescent="0.3">
      <c r="A10" s="13">
        <v>2029</v>
      </c>
      <c r="B10" s="14">
        <v>10.996577686516085</v>
      </c>
      <c r="C10" s="14">
        <v>22.434747889573348</v>
      </c>
      <c r="D10" s="14">
        <v>16.472735569244808</v>
      </c>
      <c r="E10" s="14">
        <v>58.090691307323745</v>
      </c>
      <c r="F10" s="14">
        <v>107.99475245265799</v>
      </c>
    </row>
    <row r="11" spans="1:6" x14ac:dyDescent="0.3">
      <c r="A11" s="13">
        <v>2030</v>
      </c>
      <c r="B11" s="14">
        <v>11.413757700205338</v>
      </c>
      <c r="C11" s="14">
        <v>22.684804928131417</v>
      </c>
      <c r="D11" s="14">
        <v>17.125941136208077</v>
      </c>
      <c r="E11" s="14">
        <v>60.084074834588186</v>
      </c>
      <c r="F11" s="14">
        <v>111.30857859913301</v>
      </c>
    </row>
    <row r="12" spans="1:6" x14ac:dyDescent="0.3">
      <c r="A12" s="13">
        <v>2031</v>
      </c>
      <c r="B12" s="14">
        <v>11.723248916267396</v>
      </c>
      <c r="C12" s="14">
        <v>22.995665069587044</v>
      </c>
      <c r="D12" s="14">
        <v>17.822381930184804</v>
      </c>
      <c r="E12" s="14">
        <v>62.253479352041978</v>
      </c>
      <c r="F12" s="14">
        <v>114.79477526808122</v>
      </c>
    </row>
    <row r="13" spans="1:6" x14ac:dyDescent="0.3">
      <c r="A13" s="13">
        <v>2032</v>
      </c>
      <c r="B13" s="14">
        <v>12.043919689710243</v>
      </c>
      <c r="C13" s="14">
        <v>23.33504449007529</v>
      </c>
      <c r="D13" s="14">
        <v>18.533082363677845</v>
      </c>
      <c r="E13" s="14">
        <v>64.476386036960989</v>
      </c>
      <c r="F13" s="14">
        <v>118.38843258042436</v>
      </c>
    </row>
    <row r="14" spans="1:6" x14ac:dyDescent="0.3">
      <c r="A14" s="13">
        <v>2033</v>
      </c>
      <c r="B14" s="14">
        <v>12.480949121606207</v>
      </c>
      <c r="C14" s="14">
        <v>23.700205338809038</v>
      </c>
      <c r="D14" s="14">
        <v>19.300365046771617</v>
      </c>
      <c r="E14" s="14">
        <v>66.846566278804474</v>
      </c>
      <c r="F14" s="14">
        <v>122.32808578599133</v>
      </c>
    </row>
    <row r="15" spans="1:6" x14ac:dyDescent="0.3">
      <c r="A15" s="13">
        <v>2034</v>
      </c>
      <c r="B15" s="14">
        <v>12.800365046771617</v>
      </c>
      <c r="C15" s="14">
        <v>24.103353867214238</v>
      </c>
      <c r="D15" s="14">
        <v>20.083390371891401</v>
      </c>
      <c r="E15" s="14">
        <v>69.293406342687661</v>
      </c>
      <c r="F15" s="14">
        <v>126.28051562856491</v>
      </c>
    </row>
    <row r="16" spans="1:6" x14ac:dyDescent="0.3">
      <c r="A16" s="13">
        <v>2035</v>
      </c>
      <c r="B16" s="14">
        <v>13.139858544375999</v>
      </c>
      <c r="C16" s="14">
        <v>24.528519279032626</v>
      </c>
      <c r="D16" s="14">
        <v>20.854209445585216</v>
      </c>
      <c r="E16" s="14">
        <v>71.818503308236373</v>
      </c>
      <c r="F16" s="14">
        <v>130.3410905772302</v>
      </c>
    </row>
    <row r="17" spans="1:6" x14ac:dyDescent="0.3">
      <c r="A17" s="13">
        <v>2036</v>
      </c>
      <c r="B17" s="14">
        <v>13.509468400638832</v>
      </c>
      <c r="C17" s="14">
        <v>25.014145562400184</v>
      </c>
      <c r="D17" s="14">
        <v>21.688797627195985</v>
      </c>
      <c r="E17" s="14">
        <v>74.431895961670094</v>
      </c>
      <c r="F17" s="14">
        <v>134.64430755190511</v>
      </c>
    </row>
    <row r="18" spans="1:6" x14ac:dyDescent="0.3">
      <c r="A18" s="13">
        <v>2037</v>
      </c>
      <c r="B18" s="14">
        <v>13.889915582934064</v>
      </c>
      <c r="C18" s="14">
        <v>25.555555555555557</v>
      </c>
      <c r="D18" s="14">
        <v>22.546315309148984</v>
      </c>
      <c r="E18" s="14">
        <v>77.11419119324664</v>
      </c>
      <c r="F18" s="14">
        <v>139.10597764088524</v>
      </c>
    </row>
    <row r="19" spans="1:6" x14ac:dyDescent="0.3">
      <c r="A19" s="13">
        <v>2038</v>
      </c>
      <c r="B19" s="14">
        <v>14.272644307551905</v>
      </c>
      <c r="C19" s="14">
        <v>26.134953228382386</v>
      </c>
      <c r="D19" s="14">
        <v>23.364704540269219</v>
      </c>
      <c r="E19" s="14">
        <v>79.805612594113612</v>
      </c>
      <c r="F19" s="14">
        <v>143.57791467031711</v>
      </c>
    </row>
    <row r="20" spans="1:6" x14ac:dyDescent="0.3">
      <c r="A20" s="13" t="s">
        <v>24</v>
      </c>
      <c r="B20" s="11">
        <v>175.87565594341774</v>
      </c>
      <c r="C20" s="11">
        <v>349.8424595026238</v>
      </c>
      <c r="D20" s="11">
        <v>271.56057494866525</v>
      </c>
      <c r="E20" s="11">
        <v>948.20693588866084</v>
      </c>
      <c r="F20" s="11">
        <v>1745.4856262833675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287E-5306-43AF-9B42-BA3C78F3D6D1}">
  <dimension ref="D1:Y64"/>
  <sheetViews>
    <sheetView workbookViewId="0">
      <selection activeCell="W5" sqref="W5:W64"/>
    </sheetView>
  </sheetViews>
  <sheetFormatPr defaultRowHeight="14.4" x14ac:dyDescent="0.3"/>
  <cols>
    <col min="6" max="6" width="9.5546875" bestFit="1" customWidth="1"/>
  </cols>
  <sheetData>
    <row r="1" spans="4:25" x14ac:dyDescent="0.3">
      <c r="D1" s="10" t="s">
        <v>1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X1" t="s">
        <v>26</v>
      </c>
    </row>
    <row r="2" spans="4:25" x14ac:dyDescent="0.3">
      <c r="F2" s="6" t="s">
        <v>2</v>
      </c>
      <c r="G2" s="6" t="s">
        <v>3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11</v>
      </c>
      <c r="P2" s="6" t="s">
        <v>12</v>
      </c>
      <c r="Q2" s="6" t="s">
        <v>13</v>
      </c>
      <c r="X2" t="s">
        <v>27</v>
      </c>
    </row>
    <row r="3" spans="4:25" x14ac:dyDescent="0.3">
      <c r="D3" s="7" t="s">
        <v>14</v>
      </c>
      <c r="E3">
        <v>1</v>
      </c>
      <c r="X3" s="16" t="s">
        <v>28</v>
      </c>
      <c r="Y3" s="15" t="s">
        <v>29</v>
      </c>
    </row>
    <row r="4" spans="4:25" x14ac:dyDescent="0.3">
      <c r="D4" s="8">
        <v>1</v>
      </c>
      <c r="E4">
        <v>2024</v>
      </c>
      <c r="F4" s="9">
        <v>38284</v>
      </c>
      <c r="G4" s="9">
        <v>38033</v>
      </c>
      <c r="H4" s="9">
        <v>37791</v>
      </c>
      <c r="I4" s="9">
        <v>33828</v>
      </c>
      <c r="J4" s="9">
        <v>31633</v>
      </c>
      <c r="K4" s="9">
        <v>31015</v>
      </c>
      <c r="L4" s="9">
        <v>30757</v>
      </c>
      <c r="M4" s="9">
        <v>31499</v>
      </c>
      <c r="N4" s="9">
        <v>33600</v>
      </c>
      <c r="O4" s="9">
        <v>34313</v>
      </c>
      <c r="P4" s="9">
        <v>34113</v>
      </c>
      <c r="Q4" s="9">
        <v>35352</v>
      </c>
      <c r="U4" t="s">
        <v>15</v>
      </c>
      <c r="V4" t="s">
        <v>16</v>
      </c>
      <c r="W4" t="s">
        <v>21</v>
      </c>
    </row>
    <row r="5" spans="4:25" x14ac:dyDescent="0.3">
      <c r="T5">
        <v>0</v>
      </c>
      <c r="U5" t="s">
        <v>18</v>
      </c>
      <c r="V5">
        <v>2024</v>
      </c>
      <c r="W5">
        <f>X5/(730.5*12)</f>
        <v>9.1326716860597763</v>
      </c>
      <c r="X5">
        <v>80057</v>
      </c>
    </row>
    <row r="6" spans="4:25" x14ac:dyDescent="0.3">
      <c r="T6">
        <v>1</v>
      </c>
      <c r="U6" t="s">
        <v>18</v>
      </c>
      <c r="V6">
        <v>2025</v>
      </c>
      <c r="W6">
        <f t="shared" ref="W6:W64" si="0">X6/(730.5*12)</f>
        <v>9.5155144877937481</v>
      </c>
      <c r="X6">
        <v>83413</v>
      </c>
    </row>
    <row r="7" spans="4:25" x14ac:dyDescent="0.3">
      <c r="E7" s="1">
        <v>45292</v>
      </c>
      <c r="T7">
        <v>2</v>
      </c>
      <c r="U7" t="s">
        <v>18</v>
      </c>
      <c r="V7">
        <v>2026</v>
      </c>
      <c r="W7">
        <f t="shared" si="0"/>
        <v>10.049965776865161</v>
      </c>
      <c r="X7">
        <v>88098</v>
      </c>
    </row>
    <row r="8" spans="4:25" x14ac:dyDescent="0.3">
      <c r="D8" s="2">
        <v>1</v>
      </c>
      <c r="E8" s="3">
        <v>1.37E-2</v>
      </c>
      <c r="F8" s="8">
        <f>F$4*$E8</f>
        <v>524.49080000000004</v>
      </c>
      <c r="G8" s="8">
        <f t="shared" ref="G8:Q11" si="1">G$4*$E8</f>
        <v>521.0521</v>
      </c>
      <c r="H8" s="8">
        <f t="shared" si="1"/>
        <v>517.73670000000004</v>
      </c>
      <c r="I8" s="8">
        <f t="shared" si="1"/>
        <v>463.4436</v>
      </c>
      <c r="J8" s="8">
        <f t="shared" si="1"/>
        <v>433.37209999999999</v>
      </c>
      <c r="K8" s="8">
        <f t="shared" si="1"/>
        <v>424.90550000000002</v>
      </c>
      <c r="L8" s="8">
        <f t="shared" si="1"/>
        <v>421.37090000000001</v>
      </c>
      <c r="M8" s="8">
        <f t="shared" si="1"/>
        <v>431.53630000000004</v>
      </c>
      <c r="N8" s="8">
        <f t="shared" si="1"/>
        <v>460.32</v>
      </c>
      <c r="O8" s="8">
        <f t="shared" si="1"/>
        <v>470.0881</v>
      </c>
      <c r="P8" s="8">
        <f t="shared" si="1"/>
        <v>467.34809999999999</v>
      </c>
      <c r="Q8" s="8">
        <f t="shared" si="1"/>
        <v>484.32240000000002</v>
      </c>
      <c r="T8">
        <v>3</v>
      </c>
      <c r="U8" t="s">
        <v>18</v>
      </c>
      <c r="V8">
        <v>2027</v>
      </c>
      <c r="W8">
        <f t="shared" si="0"/>
        <v>10.302874743326489</v>
      </c>
      <c r="X8">
        <v>90315</v>
      </c>
    </row>
    <row r="9" spans="4:25" x14ac:dyDescent="0.3">
      <c r="D9" s="2">
        <v>2</v>
      </c>
      <c r="E9" s="3">
        <v>0.36349999999999999</v>
      </c>
      <c r="F9" s="8">
        <f t="shared" ref="F9:F11" si="2">F$4*$E9</f>
        <v>13916.234</v>
      </c>
      <c r="G9" s="8">
        <f t="shared" si="1"/>
        <v>13824.995499999999</v>
      </c>
      <c r="H9" s="8">
        <f t="shared" si="1"/>
        <v>13737.0285</v>
      </c>
      <c r="I9" s="8">
        <f t="shared" si="1"/>
        <v>12296.477999999999</v>
      </c>
      <c r="J9" s="8">
        <f t="shared" si="1"/>
        <v>11498.595499999999</v>
      </c>
      <c r="K9" s="8">
        <f t="shared" si="1"/>
        <v>11273.952499999999</v>
      </c>
      <c r="L9" s="8">
        <f t="shared" si="1"/>
        <v>11180.1695</v>
      </c>
      <c r="M9" s="8">
        <f t="shared" si="1"/>
        <v>11449.886500000001</v>
      </c>
      <c r="N9" s="8">
        <f t="shared" si="1"/>
        <v>12213.6</v>
      </c>
      <c r="O9" s="8">
        <f t="shared" si="1"/>
        <v>12472.7755</v>
      </c>
      <c r="P9" s="8">
        <f t="shared" si="1"/>
        <v>12400.075499999999</v>
      </c>
      <c r="Q9" s="8">
        <f t="shared" si="1"/>
        <v>12850.451999999999</v>
      </c>
      <c r="T9">
        <v>4</v>
      </c>
      <c r="U9" t="s">
        <v>18</v>
      </c>
      <c r="V9">
        <v>2028</v>
      </c>
      <c r="W9">
        <f t="shared" si="0"/>
        <v>10.60392425279489</v>
      </c>
      <c r="X9">
        <v>92954</v>
      </c>
    </row>
    <row r="10" spans="4:25" x14ac:dyDescent="0.3">
      <c r="D10" s="2">
        <v>3</v>
      </c>
      <c r="E10" s="3">
        <v>0.46920000000000001</v>
      </c>
      <c r="F10" s="8">
        <f t="shared" si="2"/>
        <v>17962.852800000001</v>
      </c>
      <c r="G10" s="8">
        <f t="shared" si="1"/>
        <v>17845.083600000002</v>
      </c>
      <c r="H10" s="8">
        <f t="shared" si="1"/>
        <v>17731.537199999999</v>
      </c>
      <c r="I10" s="8">
        <f t="shared" si="1"/>
        <v>15872.097600000001</v>
      </c>
      <c r="J10" s="8">
        <f t="shared" si="1"/>
        <v>14842.203600000001</v>
      </c>
      <c r="K10" s="8">
        <f t="shared" si="1"/>
        <v>14552.237999999999</v>
      </c>
      <c r="L10" s="8">
        <f t="shared" si="1"/>
        <v>14431.1844</v>
      </c>
      <c r="M10" s="8">
        <f t="shared" si="1"/>
        <v>14779.3308</v>
      </c>
      <c r="N10" s="8">
        <f t="shared" si="1"/>
        <v>15765.12</v>
      </c>
      <c r="O10" s="8">
        <f t="shared" si="1"/>
        <v>16099.659600000001</v>
      </c>
      <c r="P10" s="8">
        <f t="shared" si="1"/>
        <v>16005.819600000001</v>
      </c>
      <c r="Q10" s="8">
        <f t="shared" si="1"/>
        <v>16587.1584</v>
      </c>
      <c r="T10">
        <v>5</v>
      </c>
      <c r="U10" t="s">
        <v>18</v>
      </c>
      <c r="V10">
        <v>2029</v>
      </c>
      <c r="W10">
        <f t="shared" si="0"/>
        <v>10.996577686516085</v>
      </c>
      <c r="X10">
        <v>96396</v>
      </c>
    </row>
    <row r="11" spans="4:25" x14ac:dyDescent="0.3">
      <c r="D11" s="2">
        <v>4</v>
      </c>
      <c r="E11" s="3">
        <v>0.15359999999999999</v>
      </c>
      <c r="F11" s="8">
        <f t="shared" si="2"/>
        <v>5880.4223999999995</v>
      </c>
      <c r="G11" s="8">
        <f t="shared" si="1"/>
        <v>5841.8687999999993</v>
      </c>
      <c r="H11" s="8">
        <f t="shared" si="1"/>
        <v>5804.6975999999995</v>
      </c>
      <c r="I11" s="8">
        <f t="shared" si="1"/>
        <v>5195.9807999999994</v>
      </c>
      <c r="J11" s="8">
        <f t="shared" si="1"/>
        <v>4858.8287999999993</v>
      </c>
      <c r="K11" s="8">
        <f t="shared" si="1"/>
        <v>4763.9039999999995</v>
      </c>
      <c r="L11" s="8">
        <f t="shared" si="1"/>
        <v>4724.2752</v>
      </c>
      <c r="M11" s="8">
        <f t="shared" si="1"/>
        <v>4838.2464</v>
      </c>
      <c r="N11" s="8">
        <f t="shared" si="1"/>
        <v>5160.9599999999991</v>
      </c>
      <c r="O11" s="8">
        <f t="shared" si="1"/>
        <v>5270.4767999999995</v>
      </c>
      <c r="P11" s="8">
        <f t="shared" si="1"/>
        <v>5239.7567999999992</v>
      </c>
      <c r="Q11" s="8">
        <f t="shared" si="1"/>
        <v>5430.0671999999995</v>
      </c>
      <c r="T11">
        <v>6</v>
      </c>
      <c r="U11" t="s">
        <v>18</v>
      </c>
      <c r="V11">
        <v>2030</v>
      </c>
      <c r="W11">
        <f t="shared" si="0"/>
        <v>11.413757700205339</v>
      </c>
      <c r="X11">
        <v>100053</v>
      </c>
    </row>
    <row r="12" spans="4:25" x14ac:dyDescent="0.3">
      <c r="T12">
        <v>7</v>
      </c>
      <c r="U12" t="s">
        <v>18</v>
      </c>
      <c r="V12">
        <v>2031</v>
      </c>
      <c r="W12">
        <f t="shared" si="0"/>
        <v>11.723248916267396</v>
      </c>
      <c r="X12">
        <v>102766</v>
      </c>
    </row>
    <row r="13" spans="4:25" x14ac:dyDescent="0.3">
      <c r="D13" t="s">
        <v>0</v>
      </c>
      <c r="T13">
        <v>8</v>
      </c>
      <c r="U13" t="s">
        <v>18</v>
      </c>
      <c r="V13">
        <v>2032</v>
      </c>
      <c r="W13">
        <f t="shared" si="0"/>
        <v>12.043919689710243</v>
      </c>
      <c r="X13">
        <v>105577</v>
      </c>
    </row>
    <row r="14" spans="4:25" x14ac:dyDescent="0.3">
      <c r="D14" s="4">
        <v>1</v>
      </c>
      <c r="E14" s="1">
        <v>45292</v>
      </c>
      <c r="T14">
        <v>9</v>
      </c>
      <c r="U14" t="s">
        <v>18</v>
      </c>
      <c r="V14">
        <v>2033</v>
      </c>
      <c r="W14">
        <f t="shared" si="0"/>
        <v>12.480949121606205</v>
      </c>
      <c r="X14">
        <v>109408</v>
      </c>
    </row>
    <row r="15" spans="4:25" x14ac:dyDescent="0.3">
      <c r="D15" s="2">
        <v>1</v>
      </c>
      <c r="E15" s="5">
        <v>1.3753</v>
      </c>
      <c r="F15" s="8">
        <f>$E15*F8</f>
        <v>721.33219724000003</v>
      </c>
      <c r="G15" s="8">
        <f t="shared" ref="G15:Q15" si="3">$E15*G8</f>
        <v>716.60295312999995</v>
      </c>
      <c r="H15" s="8">
        <f t="shared" si="3"/>
        <v>712.04328351000004</v>
      </c>
      <c r="I15" s="8">
        <f t="shared" si="3"/>
        <v>637.37398308000002</v>
      </c>
      <c r="J15" s="8">
        <f t="shared" si="3"/>
        <v>596.01664913000002</v>
      </c>
      <c r="K15" s="8">
        <f t="shared" si="3"/>
        <v>584.37253414999998</v>
      </c>
      <c r="L15" s="8">
        <f t="shared" si="3"/>
        <v>579.51139877000003</v>
      </c>
      <c r="M15" s="8">
        <f t="shared" si="3"/>
        <v>593.49187339000002</v>
      </c>
      <c r="N15" s="8">
        <f t="shared" si="3"/>
        <v>633.07809599999996</v>
      </c>
      <c r="O15" s="8">
        <f t="shared" si="3"/>
        <v>646.51216392999993</v>
      </c>
      <c r="P15" s="8">
        <f t="shared" si="3"/>
        <v>642.74384192999992</v>
      </c>
      <c r="Q15" s="8">
        <f t="shared" si="3"/>
        <v>666.08859672000006</v>
      </c>
      <c r="T15">
        <v>10</v>
      </c>
      <c r="U15" t="s">
        <v>18</v>
      </c>
      <c r="V15">
        <v>2034</v>
      </c>
      <c r="W15">
        <f t="shared" si="0"/>
        <v>12.800365046771617</v>
      </c>
      <c r="X15">
        <v>112208</v>
      </c>
    </row>
    <row r="16" spans="4:25" x14ac:dyDescent="0.3">
      <c r="D16" s="2">
        <v>2</v>
      </c>
      <c r="E16" s="5">
        <v>1.1469</v>
      </c>
      <c r="F16" s="8">
        <f t="shared" ref="F16:Q16" si="4">$E16*F9</f>
        <v>15960.528774600001</v>
      </c>
      <c r="G16" s="8">
        <f t="shared" si="4"/>
        <v>15855.887338949999</v>
      </c>
      <c r="H16" s="8">
        <f t="shared" si="4"/>
        <v>15754.997986650002</v>
      </c>
      <c r="I16" s="8">
        <f t="shared" si="4"/>
        <v>14102.8306182</v>
      </c>
      <c r="J16" s="8">
        <f t="shared" si="4"/>
        <v>13187.73917895</v>
      </c>
      <c r="K16" s="8">
        <f t="shared" si="4"/>
        <v>12930.096122249999</v>
      </c>
      <c r="L16" s="8">
        <f t="shared" si="4"/>
        <v>12822.536399550001</v>
      </c>
      <c r="M16" s="8">
        <f t="shared" si="4"/>
        <v>13131.87482685</v>
      </c>
      <c r="N16" s="8">
        <f t="shared" si="4"/>
        <v>14007.777840000001</v>
      </c>
      <c r="O16" s="8">
        <f t="shared" si="4"/>
        <v>14305.02622095</v>
      </c>
      <c r="P16" s="8">
        <f t="shared" si="4"/>
        <v>14221.646590949998</v>
      </c>
      <c r="Q16" s="8">
        <f t="shared" si="4"/>
        <v>14738.1833988</v>
      </c>
      <c r="T16">
        <v>11</v>
      </c>
      <c r="U16" t="s">
        <v>18</v>
      </c>
      <c r="V16">
        <v>2035</v>
      </c>
      <c r="W16">
        <f t="shared" si="0"/>
        <v>13.139858544375999</v>
      </c>
      <c r="X16">
        <v>115184</v>
      </c>
    </row>
    <row r="17" spans="4:24" x14ac:dyDescent="0.3">
      <c r="D17" s="2">
        <v>3</v>
      </c>
      <c r="E17" s="5">
        <v>0.96589999999999998</v>
      </c>
      <c r="F17" s="8">
        <f t="shared" ref="F17:Q17" si="5">$E17*F10</f>
        <v>17350.319519519999</v>
      </c>
      <c r="G17" s="8">
        <f t="shared" si="5"/>
        <v>17236.566249240001</v>
      </c>
      <c r="H17" s="8">
        <f t="shared" si="5"/>
        <v>17126.891781479997</v>
      </c>
      <c r="I17" s="8">
        <f t="shared" si="5"/>
        <v>15330.859071840001</v>
      </c>
      <c r="J17" s="8">
        <f t="shared" si="5"/>
        <v>14336.08445724</v>
      </c>
      <c r="K17" s="8">
        <f t="shared" si="5"/>
        <v>14056.0066842</v>
      </c>
      <c r="L17" s="8">
        <f t="shared" si="5"/>
        <v>13939.081011959999</v>
      </c>
      <c r="M17" s="8">
        <f t="shared" si="5"/>
        <v>14275.35561972</v>
      </c>
      <c r="N17" s="8">
        <f t="shared" si="5"/>
        <v>15227.529408</v>
      </c>
      <c r="O17" s="8">
        <f t="shared" si="5"/>
        <v>15550.66120764</v>
      </c>
      <c r="P17" s="8">
        <f t="shared" si="5"/>
        <v>15460.02115164</v>
      </c>
      <c r="Q17" s="8">
        <f t="shared" si="5"/>
        <v>16021.53629856</v>
      </c>
      <c r="T17">
        <v>12</v>
      </c>
      <c r="U17" t="s">
        <v>18</v>
      </c>
      <c r="V17">
        <v>2036</v>
      </c>
      <c r="W17">
        <f t="shared" si="0"/>
        <v>13.509468400638832</v>
      </c>
      <c r="X17">
        <v>118424</v>
      </c>
    </row>
    <row r="18" spans="4:24" x14ac:dyDescent="0.3">
      <c r="D18" s="2">
        <v>4</v>
      </c>
      <c r="E18" s="5">
        <v>0.72309999999999997</v>
      </c>
      <c r="F18" s="8">
        <f t="shared" ref="F18:Q18" si="6">$E18*F11</f>
        <v>4252.1334374399994</v>
      </c>
      <c r="G18" s="8">
        <f t="shared" si="6"/>
        <v>4224.2553292799994</v>
      </c>
      <c r="H18" s="8">
        <f t="shared" si="6"/>
        <v>4197.3768345599992</v>
      </c>
      <c r="I18" s="8">
        <f t="shared" si="6"/>
        <v>3757.2137164799992</v>
      </c>
      <c r="J18" s="8">
        <f t="shared" si="6"/>
        <v>3513.4191052799993</v>
      </c>
      <c r="K18" s="8">
        <f t="shared" si="6"/>
        <v>3444.7789823999997</v>
      </c>
      <c r="L18" s="8">
        <f t="shared" si="6"/>
        <v>3416.1233971199999</v>
      </c>
      <c r="M18" s="8">
        <f t="shared" si="6"/>
        <v>3498.53597184</v>
      </c>
      <c r="N18" s="8">
        <f t="shared" si="6"/>
        <v>3731.890175999999</v>
      </c>
      <c r="O18" s="8">
        <f t="shared" si="6"/>
        <v>3811.0817740799994</v>
      </c>
      <c r="P18" s="8">
        <f t="shared" si="6"/>
        <v>3788.8681420799994</v>
      </c>
      <c r="Q18" s="8">
        <f t="shared" si="6"/>
        <v>3926.4815923199994</v>
      </c>
      <c r="T18">
        <v>13</v>
      </c>
      <c r="U18" t="s">
        <v>18</v>
      </c>
      <c r="V18">
        <v>2037</v>
      </c>
      <c r="W18">
        <f t="shared" si="0"/>
        <v>13.889915582934064</v>
      </c>
      <c r="X18">
        <v>121759</v>
      </c>
    </row>
    <row r="19" spans="4:24" x14ac:dyDescent="0.3">
      <c r="T19">
        <v>14</v>
      </c>
      <c r="U19" t="s">
        <v>18</v>
      </c>
      <c r="V19">
        <v>2038</v>
      </c>
      <c r="W19">
        <f t="shared" si="0"/>
        <v>14.272644307551905</v>
      </c>
      <c r="X19">
        <v>125114</v>
      </c>
    </row>
    <row r="20" spans="4:24" x14ac:dyDescent="0.3">
      <c r="T20">
        <v>15</v>
      </c>
      <c r="U20" t="s">
        <v>19</v>
      </c>
      <c r="V20">
        <v>2024</v>
      </c>
      <c r="W20">
        <f t="shared" si="0"/>
        <v>21.982432124115903</v>
      </c>
      <c r="X20">
        <v>192698</v>
      </c>
    </row>
    <row r="21" spans="4:24" x14ac:dyDescent="0.3">
      <c r="T21">
        <v>16</v>
      </c>
      <c r="U21" t="s">
        <v>19</v>
      </c>
      <c r="V21">
        <v>2025</v>
      </c>
      <c r="W21">
        <f t="shared" si="0"/>
        <v>21.727469769564227</v>
      </c>
      <c r="X21">
        <v>190463</v>
      </c>
    </row>
    <row r="22" spans="4:24" x14ac:dyDescent="0.3">
      <c r="T22">
        <v>17</v>
      </c>
      <c r="U22" t="s">
        <v>19</v>
      </c>
      <c r="V22">
        <v>2026</v>
      </c>
      <c r="W22">
        <f t="shared" si="0"/>
        <v>21.70784850558978</v>
      </c>
      <c r="X22">
        <v>190291</v>
      </c>
    </row>
    <row r="23" spans="4:24" x14ac:dyDescent="0.3">
      <c r="T23">
        <v>18</v>
      </c>
      <c r="U23" t="s">
        <v>19</v>
      </c>
      <c r="V23">
        <v>2027</v>
      </c>
      <c r="W23">
        <f t="shared" si="0"/>
        <v>21.870978781656401</v>
      </c>
      <c r="X23">
        <v>191721</v>
      </c>
    </row>
    <row r="24" spans="4:24" x14ac:dyDescent="0.3">
      <c r="T24">
        <v>19</v>
      </c>
      <c r="U24" t="s">
        <v>19</v>
      </c>
      <c r="V24">
        <v>2028</v>
      </c>
      <c r="W24">
        <f t="shared" si="0"/>
        <v>22.066735112936346</v>
      </c>
      <c r="X24">
        <v>193437</v>
      </c>
    </row>
    <row r="25" spans="4:24" x14ac:dyDescent="0.3">
      <c r="T25">
        <v>20</v>
      </c>
      <c r="U25" t="s">
        <v>19</v>
      </c>
      <c r="V25">
        <v>2029</v>
      </c>
      <c r="W25">
        <f t="shared" si="0"/>
        <v>22.434747889573352</v>
      </c>
      <c r="X25">
        <v>196663</v>
      </c>
    </row>
    <row r="26" spans="4:24" x14ac:dyDescent="0.3">
      <c r="T26">
        <v>21</v>
      </c>
      <c r="U26" t="s">
        <v>19</v>
      </c>
      <c r="V26">
        <v>2030</v>
      </c>
      <c r="W26">
        <f t="shared" si="0"/>
        <v>22.684804928131417</v>
      </c>
      <c r="X26">
        <v>198855</v>
      </c>
    </row>
    <row r="27" spans="4:24" x14ac:dyDescent="0.3">
      <c r="T27">
        <v>22</v>
      </c>
      <c r="U27" t="s">
        <v>19</v>
      </c>
      <c r="V27">
        <v>2031</v>
      </c>
      <c r="W27">
        <f t="shared" si="0"/>
        <v>22.995665069587041</v>
      </c>
      <c r="X27">
        <v>201580</v>
      </c>
    </row>
    <row r="28" spans="4:24" x14ac:dyDescent="0.3">
      <c r="T28">
        <v>23</v>
      </c>
      <c r="U28" t="s">
        <v>19</v>
      </c>
      <c r="V28">
        <v>2032</v>
      </c>
      <c r="W28">
        <f t="shared" si="0"/>
        <v>23.33504449007529</v>
      </c>
      <c r="X28">
        <v>204555</v>
      </c>
    </row>
    <row r="29" spans="4:24" x14ac:dyDescent="0.3">
      <c r="T29">
        <v>24</v>
      </c>
      <c r="U29" t="s">
        <v>19</v>
      </c>
      <c r="V29">
        <v>2033</v>
      </c>
      <c r="W29">
        <f t="shared" si="0"/>
        <v>23.700205338809035</v>
      </c>
      <c r="X29">
        <v>207756</v>
      </c>
    </row>
    <row r="30" spans="4:24" x14ac:dyDescent="0.3">
      <c r="T30">
        <v>25</v>
      </c>
      <c r="U30" t="s">
        <v>19</v>
      </c>
      <c r="V30">
        <v>2034</v>
      </c>
      <c r="W30">
        <f t="shared" si="0"/>
        <v>24.103353867214238</v>
      </c>
      <c r="X30">
        <v>211290</v>
      </c>
    </row>
    <row r="31" spans="4:24" x14ac:dyDescent="0.3">
      <c r="T31">
        <v>26</v>
      </c>
      <c r="U31" t="s">
        <v>19</v>
      </c>
      <c r="V31">
        <v>2035</v>
      </c>
      <c r="W31">
        <f t="shared" si="0"/>
        <v>24.528519279032626</v>
      </c>
      <c r="X31">
        <v>215017</v>
      </c>
    </row>
    <row r="32" spans="4:24" x14ac:dyDescent="0.3">
      <c r="T32">
        <v>27</v>
      </c>
      <c r="U32" t="s">
        <v>19</v>
      </c>
      <c r="V32">
        <v>2036</v>
      </c>
      <c r="W32">
        <f t="shared" si="0"/>
        <v>25.014145562400184</v>
      </c>
      <c r="X32">
        <v>219274</v>
      </c>
    </row>
    <row r="33" spans="20:24" x14ac:dyDescent="0.3">
      <c r="T33">
        <v>28</v>
      </c>
      <c r="U33" t="s">
        <v>19</v>
      </c>
      <c r="V33">
        <v>2037</v>
      </c>
      <c r="W33">
        <f t="shared" si="0"/>
        <v>25.555555555555557</v>
      </c>
      <c r="X33">
        <v>224020</v>
      </c>
    </row>
    <row r="34" spans="20:24" x14ac:dyDescent="0.3">
      <c r="T34">
        <v>29</v>
      </c>
      <c r="U34" t="s">
        <v>19</v>
      </c>
      <c r="V34">
        <v>2038</v>
      </c>
      <c r="W34">
        <f t="shared" si="0"/>
        <v>26.134953228382386</v>
      </c>
      <c r="X34">
        <v>229099</v>
      </c>
    </row>
    <row r="35" spans="20:24" x14ac:dyDescent="0.3">
      <c r="T35">
        <v>30</v>
      </c>
      <c r="U35" t="s">
        <v>20</v>
      </c>
      <c r="V35">
        <v>2024</v>
      </c>
      <c r="W35">
        <f t="shared" si="0"/>
        <v>13.879534565366187</v>
      </c>
      <c r="X35">
        <v>121668</v>
      </c>
    </row>
    <row r="36" spans="20:24" x14ac:dyDescent="0.3">
      <c r="T36">
        <v>31</v>
      </c>
      <c r="U36" t="s">
        <v>20</v>
      </c>
      <c r="V36">
        <v>2025</v>
      </c>
      <c r="W36">
        <f t="shared" si="0"/>
        <v>14.189025781428246</v>
      </c>
      <c r="X36">
        <v>124381</v>
      </c>
    </row>
    <row r="37" spans="20:24" x14ac:dyDescent="0.3">
      <c r="T37">
        <v>32</v>
      </c>
      <c r="U37" t="s">
        <v>20</v>
      </c>
      <c r="V37">
        <v>2026</v>
      </c>
      <c r="W37">
        <f t="shared" si="0"/>
        <v>14.669404517453799</v>
      </c>
      <c r="X37">
        <v>128592</v>
      </c>
    </row>
    <row r="38" spans="20:24" x14ac:dyDescent="0.3">
      <c r="T38">
        <v>33</v>
      </c>
      <c r="U38" t="s">
        <v>20</v>
      </c>
      <c r="V38">
        <v>2027</v>
      </c>
      <c r="W38">
        <f t="shared" si="0"/>
        <v>15.204996577686517</v>
      </c>
      <c r="X38">
        <v>133287</v>
      </c>
    </row>
    <row r="39" spans="20:24" x14ac:dyDescent="0.3">
      <c r="T39">
        <v>34</v>
      </c>
      <c r="U39" t="s">
        <v>20</v>
      </c>
      <c r="V39">
        <v>2028</v>
      </c>
      <c r="W39">
        <f t="shared" si="0"/>
        <v>15.82569016655259</v>
      </c>
      <c r="X39">
        <v>138728</v>
      </c>
    </row>
    <row r="40" spans="20:24" x14ac:dyDescent="0.3">
      <c r="T40">
        <v>35</v>
      </c>
      <c r="U40" t="s">
        <v>20</v>
      </c>
      <c r="V40">
        <v>2029</v>
      </c>
      <c r="W40">
        <f t="shared" si="0"/>
        <v>16.472735569244808</v>
      </c>
      <c r="X40">
        <v>144400</v>
      </c>
    </row>
    <row r="41" spans="20:24" x14ac:dyDescent="0.3">
      <c r="T41">
        <v>36</v>
      </c>
      <c r="U41" t="s">
        <v>20</v>
      </c>
      <c r="V41">
        <v>2030</v>
      </c>
      <c r="W41">
        <f t="shared" si="0"/>
        <v>17.125941136208077</v>
      </c>
      <c r="X41">
        <v>150126</v>
      </c>
    </row>
    <row r="42" spans="20:24" x14ac:dyDescent="0.3">
      <c r="T42">
        <v>37</v>
      </c>
      <c r="U42" t="s">
        <v>20</v>
      </c>
      <c r="V42">
        <v>2031</v>
      </c>
      <c r="W42">
        <f t="shared" si="0"/>
        <v>17.822381930184804</v>
      </c>
      <c r="X42">
        <v>156231</v>
      </c>
    </row>
    <row r="43" spans="20:24" x14ac:dyDescent="0.3">
      <c r="T43">
        <v>38</v>
      </c>
      <c r="U43" t="s">
        <v>20</v>
      </c>
      <c r="V43">
        <v>2032</v>
      </c>
      <c r="W43">
        <f t="shared" si="0"/>
        <v>18.533082363677845</v>
      </c>
      <c r="X43">
        <v>162461</v>
      </c>
    </row>
    <row r="44" spans="20:24" x14ac:dyDescent="0.3">
      <c r="T44">
        <v>39</v>
      </c>
      <c r="U44" t="s">
        <v>20</v>
      </c>
      <c r="V44">
        <v>2033</v>
      </c>
      <c r="W44">
        <f t="shared" si="0"/>
        <v>19.300365046771617</v>
      </c>
      <c r="X44">
        <v>169187</v>
      </c>
    </row>
    <row r="45" spans="20:24" x14ac:dyDescent="0.3">
      <c r="T45">
        <v>40</v>
      </c>
      <c r="U45" t="s">
        <v>20</v>
      </c>
      <c r="V45">
        <v>2034</v>
      </c>
      <c r="W45">
        <f t="shared" si="0"/>
        <v>20.083390371891397</v>
      </c>
      <c r="X45">
        <v>176051</v>
      </c>
    </row>
    <row r="46" spans="20:24" x14ac:dyDescent="0.3">
      <c r="T46">
        <v>41</v>
      </c>
      <c r="U46" t="s">
        <v>20</v>
      </c>
      <c r="V46">
        <v>2035</v>
      </c>
      <c r="W46">
        <f t="shared" si="0"/>
        <v>20.854209445585216</v>
      </c>
      <c r="X46">
        <v>182808</v>
      </c>
    </row>
    <row r="47" spans="20:24" x14ac:dyDescent="0.3">
      <c r="T47">
        <v>42</v>
      </c>
      <c r="U47" t="s">
        <v>20</v>
      </c>
      <c r="V47">
        <v>2036</v>
      </c>
      <c r="W47">
        <f t="shared" si="0"/>
        <v>21.688797627195985</v>
      </c>
      <c r="X47">
        <v>190124</v>
      </c>
    </row>
    <row r="48" spans="20:24" x14ac:dyDescent="0.3">
      <c r="T48">
        <v>43</v>
      </c>
      <c r="U48" t="s">
        <v>20</v>
      </c>
      <c r="V48">
        <v>2037</v>
      </c>
      <c r="W48">
        <f t="shared" si="0"/>
        <v>22.546315309148984</v>
      </c>
      <c r="X48">
        <v>197641</v>
      </c>
    </row>
    <row r="49" spans="20:24" x14ac:dyDescent="0.3">
      <c r="T49">
        <v>44</v>
      </c>
      <c r="U49" t="s">
        <v>20</v>
      </c>
      <c r="V49">
        <v>2038</v>
      </c>
      <c r="W49">
        <f t="shared" si="0"/>
        <v>23.364704540269223</v>
      </c>
      <c r="X49">
        <v>204815</v>
      </c>
    </row>
    <row r="50" spans="20:24" x14ac:dyDescent="0.3">
      <c r="T50">
        <v>45</v>
      </c>
      <c r="U50" t="s">
        <v>17</v>
      </c>
      <c r="V50">
        <v>2024</v>
      </c>
      <c r="W50">
        <f t="shared" si="0"/>
        <v>50.312571298197582</v>
      </c>
      <c r="X50">
        <v>441040</v>
      </c>
    </row>
    <row r="51" spans="20:24" x14ac:dyDescent="0.3">
      <c r="T51">
        <v>46</v>
      </c>
      <c r="U51" t="s">
        <v>17</v>
      </c>
      <c r="V51">
        <v>2025</v>
      </c>
      <c r="W51">
        <f t="shared" si="0"/>
        <v>50.925507643166782</v>
      </c>
      <c r="X51">
        <v>446413</v>
      </c>
    </row>
    <row r="52" spans="20:24" x14ac:dyDescent="0.3">
      <c r="T52">
        <v>47</v>
      </c>
      <c r="U52" t="s">
        <v>17</v>
      </c>
      <c r="V52">
        <v>2026</v>
      </c>
      <c r="W52">
        <f t="shared" si="0"/>
        <v>52.42961441934748</v>
      </c>
      <c r="X52">
        <v>459598</v>
      </c>
    </row>
    <row r="53" spans="20:24" x14ac:dyDescent="0.3">
      <c r="T53">
        <v>48</v>
      </c>
      <c r="U53" t="s">
        <v>17</v>
      </c>
      <c r="V53">
        <v>2027</v>
      </c>
      <c r="W53">
        <f t="shared" si="0"/>
        <v>54.183093771389458</v>
      </c>
      <c r="X53">
        <v>474969</v>
      </c>
    </row>
    <row r="54" spans="20:24" x14ac:dyDescent="0.3">
      <c r="T54">
        <v>49</v>
      </c>
      <c r="U54" t="s">
        <v>17</v>
      </c>
      <c r="V54">
        <v>2028</v>
      </c>
      <c r="W54">
        <f t="shared" si="0"/>
        <v>56.141341546885698</v>
      </c>
      <c r="X54">
        <v>492135</v>
      </c>
    </row>
    <row r="55" spans="20:24" x14ac:dyDescent="0.3">
      <c r="T55">
        <v>50</v>
      </c>
      <c r="U55" t="s">
        <v>17</v>
      </c>
      <c r="V55">
        <v>2029</v>
      </c>
      <c r="W55">
        <f t="shared" si="0"/>
        <v>58.090691307323752</v>
      </c>
      <c r="X55">
        <v>509223</v>
      </c>
    </row>
    <row r="56" spans="20:24" x14ac:dyDescent="0.3">
      <c r="T56">
        <v>51</v>
      </c>
      <c r="U56" t="s">
        <v>17</v>
      </c>
      <c r="V56">
        <v>2030</v>
      </c>
      <c r="W56">
        <f t="shared" si="0"/>
        <v>60.084074834588179</v>
      </c>
      <c r="X56">
        <v>526697</v>
      </c>
    </row>
    <row r="57" spans="20:24" x14ac:dyDescent="0.3">
      <c r="T57">
        <v>52</v>
      </c>
      <c r="U57" t="s">
        <v>17</v>
      </c>
      <c r="V57">
        <v>2031</v>
      </c>
      <c r="W57">
        <f t="shared" si="0"/>
        <v>62.253479352041978</v>
      </c>
      <c r="X57">
        <v>545714</v>
      </c>
    </row>
    <row r="58" spans="20:24" x14ac:dyDescent="0.3">
      <c r="T58">
        <v>53</v>
      </c>
      <c r="U58" t="s">
        <v>17</v>
      </c>
      <c r="V58">
        <v>2032</v>
      </c>
      <c r="W58">
        <f t="shared" si="0"/>
        <v>64.476386036960989</v>
      </c>
      <c r="X58">
        <v>565200</v>
      </c>
    </row>
    <row r="59" spans="20:24" x14ac:dyDescent="0.3">
      <c r="T59">
        <v>54</v>
      </c>
      <c r="U59" t="s">
        <v>17</v>
      </c>
      <c r="V59">
        <v>2033</v>
      </c>
      <c r="W59">
        <f t="shared" si="0"/>
        <v>66.846566278804474</v>
      </c>
      <c r="X59">
        <v>585977</v>
      </c>
    </row>
    <row r="60" spans="20:24" x14ac:dyDescent="0.3">
      <c r="T60">
        <v>55</v>
      </c>
      <c r="U60" t="s">
        <v>17</v>
      </c>
      <c r="V60">
        <v>2034</v>
      </c>
      <c r="W60">
        <f t="shared" si="0"/>
        <v>69.293406342687661</v>
      </c>
      <c r="X60">
        <v>607426</v>
      </c>
    </row>
    <row r="61" spans="20:24" x14ac:dyDescent="0.3">
      <c r="T61">
        <v>56</v>
      </c>
      <c r="U61" t="s">
        <v>17</v>
      </c>
      <c r="V61">
        <v>2035</v>
      </c>
      <c r="W61">
        <f t="shared" si="0"/>
        <v>71.818503308236373</v>
      </c>
      <c r="X61">
        <v>629561</v>
      </c>
    </row>
    <row r="62" spans="20:24" x14ac:dyDescent="0.3">
      <c r="T62">
        <v>57</v>
      </c>
      <c r="U62" t="s">
        <v>17</v>
      </c>
      <c r="V62">
        <v>2036</v>
      </c>
      <c r="W62">
        <f t="shared" si="0"/>
        <v>74.431895961670094</v>
      </c>
      <c r="X62">
        <v>652470</v>
      </c>
    </row>
    <row r="63" spans="20:24" x14ac:dyDescent="0.3">
      <c r="T63">
        <v>58</v>
      </c>
      <c r="U63" t="s">
        <v>17</v>
      </c>
      <c r="V63">
        <v>2037</v>
      </c>
      <c r="W63">
        <f t="shared" si="0"/>
        <v>77.11419119324664</v>
      </c>
      <c r="X63">
        <v>675983</v>
      </c>
    </row>
    <row r="64" spans="20:24" x14ac:dyDescent="0.3">
      <c r="T64">
        <v>59</v>
      </c>
      <c r="U64" t="s">
        <v>17</v>
      </c>
      <c r="V64">
        <v>2038</v>
      </c>
      <c r="W64">
        <f t="shared" si="0"/>
        <v>79.805612594113626</v>
      </c>
      <c r="X64">
        <v>699576</v>
      </c>
    </row>
  </sheetData>
  <mergeCells count="1">
    <mergeCell ref="D1:Q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Planilha3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Veiga Velasco</dc:creator>
  <cp:lastModifiedBy>Jonathan Veiga Velasco</cp:lastModifiedBy>
  <dcterms:created xsi:type="dcterms:W3CDTF">2026-05-24T22:56:10Z</dcterms:created>
  <dcterms:modified xsi:type="dcterms:W3CDTF">2026-06-04T21:09:53Z</dcterms:modified>
</cp:coreProperties>
</file>