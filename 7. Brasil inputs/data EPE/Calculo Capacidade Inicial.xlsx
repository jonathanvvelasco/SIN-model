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IN-model\7. Brasil inputs\data EPE\"/>
    </mc:Choice>
  </mc:AlternateContent>
  <xr:revisionPtr revIDLastSave="0" documentId="13_ncr:1_{8AA4E00E-7717-4A1E-A7D8-1B107F1644E2}" xr6:coauthVersionLast="47" xr6:coauthVersionMax="47" xr10:uidLastSave="{00000000-0000-0000-0000-000000000000}"/>
  <bookViews>
    <workbookView xWindow="-108" yWindow="-108" windowWidth="23256" windowHeight="12456" xr2:uid="{B9AC224B-2CA4-485E-AEA2-594373DBDAA1}"/>
  </bookViews>
  <sheets>
    <sheet name="Por history_new_capacity" sheetId="1" r:id="rId1"/>
    <sheet name="Por history_acticity" sheetId="2" r:id="rId2"/>
  </sheets>
  <definedNames>
    <definedName name="_xlnm._FilterDatabase" localSheetId="0" hidden="1">'Por history_acticity'!$Q$1:$S$85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5" i="2" l="1"/>
  <c r="K16" i="2"/>
  <c r="K17" i="2"/>
  <c r="K18" i="2"/>
  <c r="K19" i="2"/>
  <c r="K20" i="2"/>
  <c r="K21" i="2"/>
  <c r="K22" i="2"/>
  <c r="K23" i="2"/>
  <c r="K24" i="2"/>
  <c r="K25" i="2"/>
  <c r="H15" i="2" s="1"/>
  <c r="K26" i="2"/>
  <c r="G15" i="1"/>
</calcChain>
</file>

<file path=xl/sharedStrings.xml><?xml version="1.0" encoding="utf-8"?>
<sst xmlns="http://schemas.openxmlformats.org/spreadsheetml/2006/main" count="464" uniqueCount="61">
  <si>
    <t>South</t>
  </si>
  <si>
    <t>bio_ppl</t>
  </si>
  <si>
    <t>gas_ppl</t>
  </si>
  <si>
    <t>coal_ppl</t>
  </si>
  <si>
    <t>oil_ppl</t>
  </si>
  <si>
    <t>solar_pv_ppl</t>
  </si>
  <si>
    <t>hydro_2</t>
  </si>
  <si>
    <t>hydro_11</t>
  </si>
  <si>
    <t>wind_ppl_rs</t>
  </si>
  <si>
    <t>grid4</t>
  </si>
  <si>
    <t>grid_s</t>
  </si>
  <si>
    <t>North</t>
  </si>
  <si>
    <t>hydro_4</t>
  </si>
  <si>
    <t>hydro_8</t>
  </si>
  <si>
    <t>hydro_9</t>
  </si>
  <si>
    <t>wind_ppl</t>
  </si>
  <si>
    <t>grid1</t>
  </si>
  <si>
    <t>grid_n</t>
  </si>
  <si>
    <t>Northeast</t>
  </si>
  <si>
    <t>hydro_3</t>
  </si>
  <si>
    <t>wind_ppl_cos</t>
  </si>
  <si>
    <t>wind_ppl_int</t>
  </si>
  <si>
    <t>grid2</t>
  </si>
  <si>
    <t>grid_ne</t>
  </si>
  <si>
    <t>Southeast</t>
  </si>
  <si>
    <t>nuc_ppl</t>
  </si>
  <si>
    <t>hydro_1</t>
  </si>
  <si>
    <t>hydro_5</t>
  </si>
  <si>
    <t>hydro_6</t>
  </si>
  <si>
    <t>hydro_7</t>
  </si>
  <si>
    <t>hydro_10</t>
  </si>
  <si>
    <t>hydro_12</t>
  </si>
  <si>
    <t>grid3</t>
  </si>
  <si>
    <t>grid_se</t>
  </si>
  <si>
    <t>sist</t>
  </si>
  <si>
    <t>tec</t>
  </si>
  <si>
    <t>val</t>
  </si>
  <si>
    <t>CAP</t>
  </si>
  <si>
    <t>HIST</t>
  </si>
  <si>
    <t>gas_ppl_1</t>
  </si>
  <si>
    <t>gas_ppl_2</t>
  </si>
  <si>
    <t>gas_ppl_ccs</t>
  </si>
  <si>
    <t>gas_ppl_ccs_1</t>
  </si>
  <si>
    <t>gas_ppl_ccs_2</t>
  </si>
  <si>
    <t>sphs_2</t>
  </si>
  <si>
    <t>sphs_11</t>
  </si>
  <si>
    <t>batt_s</t>
  </si>
  <si>
    <t>sphs_4</t>
  </si>
  <si>
    <t>sphs_8</t>
  </si>
  <si>
    <t>sphs_9</t>
  </si>
  <si>
    <t>batt_n</t>
  </si>
  <si>
    <t>sphs_3</t>
  </si>
  <si>
    <t>batt_ne</t>
  </si>
  <si>
    <t>sphs_1</t>
  </si>
  <si>
    <t>sphs_6</t>
  </si>
  <si>
    <t>sphs_7</t>
  </si>
  <si>
    <t>sphs_10</t>
  </si>
  <si>
    <t>sphs_12</t>
  </si>
  <si>
    <t>batt_se</t>
  </si>
  <si>
    <t>CF</t>
  </si>
  <si>
    <t>Mas aparentemente o MESSAGE deduz que há apenas 80 GW de capacidade instalada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</si>
</sst>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66" fontId="0" fillId="2" borderId="0" xfId="0" applyNumberFormat="1" applyFill="1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A91B-B3ED-407B-AC09-EC81F2A467FD}">
  <dimension ref="A1:G46"/>
  <sheetViews>
    <sheetView tabSelected="1" workbookViewId="0">
      <selection activeCell="G15" sqref="G15"/>
    </sheetView>
  </sheetViews>
  <sheetFormatPr defaultRowHeight="14.4" x14ac:dyDescent="0.3"/>
  <sheetData>
    <row r="1" spans="1:7" x14ac:dyDescent="0.3">
      <c r="A1" t="s">
        <v>34</v>
      </c>
      <c r="B1" t="s">
        <v>35</v>
      </c>
      <c r="C1" t="s">
        <v>36</v>
      </c>
      <c r="G1" t="s">
        <v>37</v>
      </c>
    </row>
    <row r="2" spans="1:7" x14ac:dyDescent="0.3">
      <c r="A2" t="s">
        <v>0</v>
      </c>
      <c r="B2" t="s">
        <v>1</v>
      </c>
      <c r="C2">
        <v>1.25552</v>
      </c>
      <c r="E2" t="s">
        <v>0</v>
      </c>
      <c r="F2" t="s">
        <v>6</v>
      </c>
      <c r="G2">
        <v>8.5619999999999994</v>
      </c>
    </row>
    <row r="3" spans="1:7" x14ac:dyDescent="0.3">
      <c r="A3" t="s">
        <v>0</v>
      </c>
      <c r="B3" t="s">
        <v>2</v>
      </c>
      <c r="C3">
        <v>1.3735200000000001</v>
      </c>
      <c r="E3" t="s">
        <v>0</v>
      </c>
      <c r="F3" t="s">
        <v>7</v>
      </c>
      <c r="G3">
        <v>9.0579999999999998</v>
      </c>
    </row>
    <row r="4" spans="1:7" x14ac:dyDescent="0.3">
      <c r="A4" t="s">
        <v>0</v>
      </c>
      <c r="B4" t="s">
        <v>3</v>
      </c>
      <c r="C4">
        <v>2.0673599999999999</v>
      </c>
      <c r="E4" t="s">
        <v>11</v>
      </c>
      <c r="F4" t="s">
        <v>12</v>
      </c>
      <c r="G4">
        <v>9.6</v>
      </c>
    </row>
    <row r="5" spans="1:7" x14ac:dyDescent="0.3">
      <c r="A5" t="s">
        <v>0</v>
      </c>
      <c r="B5" t="s">
        <v>4</v>
      </c>
      <c r="C5">
        <v>2.3599999999999999E-2</v>
      </c>
      <c r="E5" t="s">
        <v>11</v>
      </c>
      <c r="F5" t="s">
        <v>13</v>
      </c>
      <c r="G5">
        <v>11.03</v>
      </c>
    </row>
    <row r="6" spans="1:7" x14ac:dyDescent="0.3">
      <c r="A6" t="s">
        <v>0</v>
      </c>
      <c r="B6" t="s">
        <v>5</v>
      </c>
      <c r="C6">
        <v>0.02</v>
      </c>
      <c r="E6" t="s">
        <v>11</v>
      </c>
      <c r="F6" t="s">
        <v>14</v>
      </c>
      <c r="G6">
        <v>1.2</v>
      </c>
    </row>
    <row r="7" spans="1:7" x14ac:dyDescent="0.3">
      <c r="A7" t="s">
        <v>0</v>
      </c>
      <c r="B7" t="s">
        <v>6</v>
      </c>
      <c r="C7">
        <v>8.5619999999999994</v>
      </c>
      <c r="E7" t="s">
        <v>18</v>
      </c>
      <c r="F7" t="s">
        <v>19</v>
      </c>
      <c r="G7">
        <v>11.036</v>
      </c>
    </row>
    <row r="8" spans="1:7" x14ac:dyDescent="0.3">
      <c r="A8" t="s">
        <v>0</v>
      </c>
      <c r="B8" t="s">
        <v>7</v>
      </c>
      <c r="C8">
        <v>9.0579999999999998</v>
      </c>
      <c r="E8" t="s">
        <v>24</v>
      </c>
      <c r="F8" t="s">
        <v>26</v>
      </c>
      <c r="G8">
        <v>6.4</v>
      </c>
    </row>
    <row r="9" spans="1:7" x14ac:dyDescent="0.3">
      <c r="A9" t="s">
        <v>0</v>
      </c>
      <c r="B9" t="s">
        <v>8</v>
      </c>
      <c r="C9">
        <v>2.0299999999999998</v>
      </c>
      <c r="E9" t="s">
        <v>24</v>
      </c>
      <c r="F9" t="s">
        <v>27</v>
      </c>
      <c r="G9">
        <v>14</v>
      </c>
    </row>
    <row r="10" spans="1:7" x14ac:dyDescent="0.3">
      <c r="A10" t="s">
        <v>0</v>
      </c>
      <c r="B10" t="s">
        <v>9</v>
      </c>
      <c r="C10">
        <v>11.22</v>
      </c>
      <c r="E10" t="s">
        <v>24</v>
      </c>
      <c r="F10" t="s">
        <v>28</v>
      </c>
      <c r="G10">
        <v>7.3</v>
      </c>
    </row>
    <row r="11" spans="1:7" x14ac:dyDescent="0.3">
      <c r="A11" t="s">
        <v>0</v>
      </c>
      <c r="B11" t="s">
        <v>10</v>
      </c>
      <c r="C11">
        <v>18</v>
      </c>
      <c r="E11" t="s">
        <v>24</v>
      </c>
      <c r="F11" t="s">
        <v>29</v>
      </c>
      <c r="G11">
        <v>3.2</v>
      </c>
    </row>
    <row r="12" spans="1:7" x14ac:dyDescent="0.3">
      <c r="A12" t="s">
        <v>11</v>
      </c>
      <c r="B12" t="s">
        <v>1</v>
      </c>
      <c r="C12">
        <v>0.42957000000000001</v>
      </c>
      <c r="E12" t="s">
        <v>24</v>
      </c>
      <c r="F12" t="s">
        <v>30</v>
      </c>
      <c r="G12">
        <v>27.6</v>
      </c>
    </row>
    <row r="13" spans="1:7" x14ac:dyDescent="0.3">
      <c r="A13" t="s">
        <v>11</v>
      </c>
      <c r="B13" t="s">
        <v>2</v>
      </c>
      <c r="C13">
        <v>2.4110100000000001</v>
      </c>
      <c r="E13" t="s">
        <v>24</v>
      </c>
      <c r="F13" t="s">
        <v>31</v>
      </c>
      <c r="G13">
        <v>2.4</v>
      </c>
    </row>
    <row r="14" spans="1:7" x14ac:dyDescent="0.3">
      <c r="A14" t="s">
        <v>11</v>
      </c>
      <c r="B14" t="s">
        <v>3</v>
      </c>
      <c r="C14">
        <v>0.35991000000000001</v>
      </c>
    </row>
    <row r="15" spans="1:7" x14ac:dyDescent="0.3">
      <c r="A15" t="s">
        <v>11</v>
      </c>
      <c r="B15" t="s">
        <v>4</v>
      </c>
      <c r="C15">
        <v>6.6950999999999997E-2</v>
      </c>
      <c r="G15" s="3">
        <f>SUM(G2:G13)</f>
        <v>111.386</v>
      </c>
    </row>
    <row r="16" spans="1:7" x14ac:dyDescent="0.3">
      <c r="A16" t="s">
        <v>11</v>
      </c>
      <c r="B16" t="s">
        <v>5</v>
      </c>
      <c r="C16">
        <v>5.0000000000000001E-3</v>
      </c>
      <c r="G16" t="s">
        <v>60</v>
      </c>
    </row>
    <row r="17" spans="1:3" x14ac:dyDescent="0.3">
      <c r="A17" t="s">
        <v>11</v>
      </c>
      <c r="B17" t="s">
        <v>12</v>
      </c>
      <c r="C17">
        <v>9.6</v>
      </c>
    </row>
    <row r="18" spans="1:3" x14ac:dyDescent="0.3">
      <c r="A18" t="s">
        <v>11</v>
      </c>
      <c r="B18" t="s">
        <v>13</v>
      </c>
      <c r="C18">
        <v>11.03</v>
      </c>
    </row>
    <row r="19" spans="1:3" x14ac:dyDescent="0.3">
      <c r="A19" t="s">
        <v>11</v>
      </c>
      <c r="B19" t="s">
        <v>14</v>
      </c>
      <c r="C19">
        <v>1.2</v>
      </c>
    </row>
    <row r="20" spans="1:3" x14ac:dyDescent="0.3">
      <c r="A20" t="s">
        <v>11</v>
      </c>
      <c r="B20" t="s">
        <v>15</v>
      </c>
      <c r="C20">
        <v>3.3000000000000002E-2</v>
      </c>
    </row>
    <row r="21" spans="1:3" x14ac:dyDescent="0.3">
      <c r="A21" t="s">
        <v>11</v>
      </c>
      <c r="B21" t="s">
        <v>16</v>
      </c>
      <c r="C21">
        <v>0.502</v>
      </c>
    </row>
    <row r="22" spans="1:3" x14ac:dyDescent="0.3">
      <c r="A22" t="s">
        <v>11</v>
      </c>
      <c r="B22" t="s">
        <v>17</v>
      </c>
      <c r="C22">
        <v>0.65900000000000003</v>
      </c>
    </row>
    <row r="23" spans="1:3" x14ac:dyDescent="0.3">
      <c r="A23" t="s">
        <v>18</v>
      </c>
      <c r="B23" t="s">
        <v>1</v>
      </c>
      <c r="C23">
        <v>1.3775999999999999</v>
      </c>
    </row>
    <row r="24" spans="1:3" x14ac:dyDescent="0.3">
      <c r="A24" t="s">
        <v>18</v>
      </c>
      <c r="B24" t="s">
        <v>2</v>
      </c>
      <c r="C24">
        <v>3.0156000000000001</v>
      </c>
    </row>
    <row r="25" spans="1:3" x14ac:dyDescent="0.3">
      <c r="A25" t="s">
        <v>18</v>
      </c>
      <c r="B25" t="s">
        <v>3</v>
      </c>
      <c r="C25">
        <v>1.0835999999999999</v>
      </c>
    </row>
    <row r="26" spans="1:3" x14ac:dyDescent="0.3">
      <c r="A26" t="s">
        <v>18</v>
      </c>
      <c r="B26" t="s">
        <v>4</v>
      </c>
      <c r="C26">
        <v>2.9232</v>
      </c>
    </row>
    <row r="27" spans="1:3" x14ac:dyDescent="0.3">
      <c r="A27" t="s">
        <v>18</v>
      </c>
      <c r="B27" t="s">
        <v>5</v>
      </c>
      <c r="C27">
        <v>6.6079999999999997</v>
      </c>
    </row>
    <row r="28" spans="1:3" x14ac:dyDescent="0.3">
      <c r="A28" t="s">
        <v>18</v>
      </c>
      <c r="B28" t="s">
        <v>19</v>
      </c>
      <c r="C28">
        <v>11.036</v>
      </c>
    </row>
    <row r="29" spans="1:3" x14ac:dyDescent="0.3">
      <c r="A29" t="s">
        <v>18</v>
      </c>
      <c r="B29" t="s">
        <v>20</v>
      </c>
      <c r="C29">
        <v>12.848000000000001</v>
      </c>
    </row>
    <row r="30" spans="1:3" x14ac:dyDescent="0.3">
      <c r="A30" t="s">
        <v>18</v>
      </c>
      <c r="B30" t="s">
        <v>21</v>
      </c>
      <c r="C30">
        <v>13.119</v>
      </c>
    </row>
    <row r="31" spans="1:3" x14ac:dyDescent="0.3">
      <c r="A31" t="s">
        <v>18</v>
      </c>
      <c r="B31" t="s">
        <v>22</v>
      </c>
      <c r="C31">
        <v>2.5099999999999998</v>
      </c>
    </row>
    <row r="32" spans="1:3" x14ac:dyDescent="0.3">
      <c r="A32" t="s">
        <v>18</v>
      </c>
      <c r="B32" t="s">
        <v>23</v>
      </c>
      <c r="C32">
        <v>13.23</v>
      </c>
    </row>
    <row r="33" spans="1:3" x14ac:dyDescent="0.3">
      <c r="A33" t="s">
        <v>24</v>
      </c>
      <c r="B33" t="s">
        <v>1</v>
      </c>
      <c r="C33">
        <v>10.3169</v>
      </c>
    </row>
    <row r="34" spans="1:3" x14ac:dyDescent="0.3">
      <c r="A34" t="s">
        <v>24</v>
      </c>
      <c r="B34" t="s">
        <v>2</v>
      </c>
      <c r="C34">
        <v>6.8031600000000001</v>
      </c>
    </row>
    <row r="35" spans="1:3" x14ac:dyDescent="0.3">
      <c r="A35" t="s">
        <v>24</v>
      </c>
      <c r="B35" t="s">
        <v>25</v>
      </c>
      <c r="C35">
        <v>2</v>
      </c>
    </row>
    <row r="36" spans="1:3" x14ac:dyDescent="0.3">
      <c r="A36" t="s">
        <v>24</v>
      </c>
      <c r="B36" t="s">
        <v>4</v>
      </c>
      <c r="C36">
        <v>1.56996</v>
      </c>
    </row>
    <row r="37" spans="1:3" x14ac:dyDescent="0.3">
      <c r="A37" t="s">
        <v>24</v>
      </c>
      <c r="B37" t="s">
        <v>5</v>
      </c>
      <c r="C37">
        <v>4.6580000000000004</v>
      </c>
    </row>
    <row r="38" spans="1:3" x14ac:dyDescent="0.3">
      <c r="A38" t="s">
        <v>24</v>
      </c>
      <c r="B38" t="s">
        <v>26</v>
      </c>
      <c r="C38">
        <v>6.4</v>
      </c>
    </row>
    <row r="39" spans="1:3" x14ac:dyDescent="0.3">
      <c r="A39" t="s">
        <v>24</v>
      </c>
      <c r="B39" t="s">
        <v>27</v>
      </c>
      <c r="C39">
        <v>14</v>
      </c>
    </row>
    <row r="40" spans="1:3" x14ac:dyDescent="0.3">
      <c r="A40" t="s">
        <v>24</v>
      </c>
      <c r="B40" t="s">
        <v>28</v>
      </c>
      <c r="C40">
        <v>7.3</v>
      </c>
    </row>
    <row r="41" spans="1:3" x14ac:dyDescent="0.3">
      <c r="A41" t="s">
        <v>24</v>
      </c>
      <c r="B41" t="s">
        <v>29</v>
      </c>
      <c r="C41">
        <v>3.2</v>
      </c>
    </row>
    <row r="42" spans="1:3" x14ac:dyDescent="0.3">
      <c r="A42" t="s">
        <v>24</v>
      </c>
      <c r="B42" t="s">
        <v>30</v>
      </c>
      <c r="C42">
        <v>27.6</v>
      </c>
    </row>
    <row r="43" spans="1:3" x14ac:dyDescent="0.3">
      <c r="A43" t="s">
        <v>24</v>
      </c>
      <c r="B43" t="s">
        <v>31</v>
      </c>
      <c r="C43">
        <v>2.4</v>
      </c>
    </row>
    <row r="44" spans="1:3" x14ac:dyDescent="0.3">
      <c r="A44" t="s">
        <v>24</v>
      </c>
      <c r="B44" t="s">
        <v>15</v>
      </c>
      <c r="C44">
        <v>0.03</v>
      </c>
    </row>
    <row r="45" spans="1:3" x14ac:dyDescent="0.3">
      <c r="A45" t="s">
        <v>24</v>
      </c>
      <c r="B45" t="s">
        <v>32</v>
      </c>
      <c r="C45">
        <v>9.4600000000000009</v>
      </c>
    </row>
    <row r="46" spans="1:3" x14ac:dyDescent="0.3">
      <c r="A46" t="s">
        <v>24</v>
      </c>
      <c r="B46" t="s">
        <v>33</v>
      </c>
      <c r="C46">
        <v>51.2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EB27-BA65-4D7E-9B68-AE0FB751FB21}">
  <dimension ref="H1:W85"/>
  <sheetViews>
    <sheetView workbookViewId="0">
      <selection activeCell="H15" sqref="H15"/>
    </sheetView>
  </sheetViews>
  <sheetFormatPr defaultRowHeight="14.4" x14ac:dyDescent="0.3"/>
  <sheetData>
    <row r="1" spans="8:23" x14ac:dyDescent="0.3">
      <c r="K1" t="s">
        <v>38</v>
      </c>
      <c r="O1" t="s">
        <v>59</v>
      </c>
      <c r="Q1" t="s">
        <v>34</v>
      </c>
      <c r="R1" t="s">
        <v>35</v>
      </c>
      <c r="S1" t="s">
        <v>59</v>
      </c>
      <c r="U1" t="s">
        <v>34</v>
      </c>
      <c r="V1" t="s">
        <v>35</v>
      </c>
      <c r="W1" t="s">
        <v>36</v>
      </c>
    </row>
    <row r="2" spans="8:23" x14ac:dyDescent="0.3">
      <c r="I2" t="s">
        <v>0</v>
      </c>
      <c r="J2" t="s">
        <v>6</v>
      </c>
      <c r="K2">
        <v>4.5839999999999996</v>
      </c>
      <c r="M2" t="s">
        <v>0</v>
      </c>
      <c r="N2" t="s">
        <v>6</v>
      </c>
      <c r="O2">
        <v>0.505</v>
      </c>
      <c r="Q2" t="s">
        <v>0</v>
      </c>
      <c r="R2" t="s">
        <v>1</v>
      </c>
      <c r="S2">
        <v>0.27</v>
      </c>
      <c r="U2" t="s">
        <v>0</v>
      </c>
      <c r="V2" t="s">
        <v>1</v>
      </c>
      <c r="W2">
        <v>0.161</v>
      </c>
    </row>
    <row r="3" spans="8:23" x14ac:dyDescent="0.3">
      <c r="I3" t="s">
        <v>0</v>
      </c>
      <c r="J3" t="s">
        <v>7</v>
      </c>
      <c r="K3">
        <v>4.8499999999999996</v>
      </c>
      <c r="M3" t="s">
        <v>0</v>
      </c>
      <c r="N3" t="s">
        <v>7</v>
      </c>
      <c r="O3">
        <v>0.505</v>
      </c>
      <c r="Q3" t="s">
        <v>0</v>
      </c>
      <c r="R3" t="s">
        <v>2</v>
      </c>
      <c r="S3">
        <v>0.75</v>
      </c>
      <c r="U3" t="s">
        <v>0</v>
      </c>
      <c r="V3" t="s">
        <v>2</v>
      </c>
      <c r="W3">
        <v>3.0000000000000001E-3</v>
      </c>
    </row>
    <row r="4" spans="8:23" x14ac:dyDescent="0.3">
      <c r="I4" t="s">
        <v>11</v>
      </c>
      <c r="J4" t="s">
        <v>12</v>
      </c>
      <c r="K4">
        <v>3.52</v>
      </c>
      <c r="M4" t="s">
        <v>11</v>
      </c>
      <c r="N4" t="s">
        <v>12</v>
      </c>
      <c r="O4">
        <v>0.372</v>
      </c>
      <c r="Q4" t="s">
        <v>0</v>
      </c>
      <c r="R4" t="s">
        <v>39</v>
      </c>
      <c r="S4">
        <v>0.75</v>
      </c>
      <c r="U4" t="s">
        <v>0</v>
      </c>
      <c r="V4" t="s">
        <v>3</v>
      </c>
      <c r="W4">
        <v>0.85</v>
      </c>
    </row>
    <row r="5" spans="8:23" x14ac:dyDescent="0.3">
      <c r="I5" t="s">
        <v>11</v>
      </c>
      <c r="J5" t="s">
        <v>13</v>
      </c>
      <c r="K5">
        <v>4.0439999999999996</v>
      </c>
      <c r="M5" t="s">
        <v>11</v>
      </c>
      <c r="N5" t="s">
        <v>13</v>
      </c>
      <c r="O5">
        <v>0.372</v>
      </c>
      <c r="Q5" t="s">
        <v>0</v>
      </c>
      <c r="R5" t="s">
        <v>40</v>
      </c>
      <c r="S5">
        <v>0.75</v>
      </c>
      <c r="U5" t="s">
        <v>0</v>
      </c>
      <c r="V5" t="s">
        <v>4</v>
      </c>
      <c r="W5">
        <v>5.0000000000000001E-3</v>
      </c>
    </row>
    <row r="6" spans="8:23" x14ac:dyDescent="0.3">
      <c r="I6" t="s">
        <v>11</v>
      </c>
      <c r="J6" t="s">
        <v>14</v>
      </c>
      <c r="K6">
        <v>0.44</v>
      </c>
      <c r="M6" t="s">
        <v>11</v>
      </c>
      <c r="N6" t="s">
        <v>14</v>
      </c>
      <c r="O6">
        <v>0.372</v>
      </c>
      <c r="Q6" t="s">
        <v>0</v>
      </c>
      <c r="R6" t="s">
        <v>41</v>
      </c>
      <c r="S6">
        <v>0.75</v>
      </c>
      <c r="U6" t="s">
        <v>0</v>
      </c>
      <c r="V6" t="s">
        <v>5</v>
      </c>
      <c r="W6">
        <v>0.624</v>
      </c>
    </row>
    <row r="7" spans="8:23" x14ac:dyDescent="0.3">
      <c r="I7" t="s">
        <v>18</v>
      </c>
      <c r="J7" t="s">
        <v>19</v>
      </c>
      <c r="K7">
        <v>3.9950000000000001</v>
      </c>
      <c r="M7" t="s">
        <v>18</v>
      </c>
      <c r="N7" t="s">
        <v>19</v>
      </c>
      <c r="O7">
        <v>0.35299999999999998</v>
      </c>
      <c r="Q7" t="s">
        <v>0</v>
      </c>
      <c r="R7" t="s">
        <v>42</v>
      </c>
      <c r="S7">
        <v>0.75</v>
      </c>
      <c r="U7" t="s">
        <v>0</v>
      </c>
      <c r="V7" t="s">
        <v>6</v>
      </c>
      <c r="W7">
        <v>4.5839999999999996</v>
      </c>
    </row>
    <row r="8" spans="8:23" x14ac:dyDescent="0.3">
      <c r="I8" t="s">
        <v>24</v>
      </c>
      <c r="J8" t="s">
        <v>26</v>
      </c>
      <c r="K8">
        <v>3.0910000000000002</v>
      </c>
      <c r="M8" t="s">
        <v>24</v>
      </c>
      <c r="N8" t="s">
        <v>26</v>
      </c>
      <c r="O8">
        <v>0.505</v>
      </c>
      <c r="Q8" t="s">
        <v>0</v>
      </c>
      <c r="R8" t="s">
        <v>43</v>
      </c>
      <c r="S8">
        <v>0.75</v>
      </c>
      <c r="U8" t="s">
        <v>0</v>
      </c>
      <c r="V8" t="s">
        <v>7</v>
      </c>
      <c r="W8">
        <v>4.8499999999999996</v>
      </c>
    </row>
    <row r="9" spans="8:23" x14ac:dyDescent="0.3">
      <c r="I9" t="s">
        <v>24</v>
      </c>
      <c r="J9" t="s">
        <v>27</v>
      </c>
      <c r="K9">
        <v>6.7610000000000001</v>
      </c>
      <c r="M9" t="s">
        <v>24</v>
      </c>
      <c r="N9" t="s">
        <v>27</v>
      </c>
      <c r="O9">
        <v>0.505</v>
      </c>
      <c r="Q9" t="s">
        <v>0</v>
      </c>
      <c r="R9" t="s">
        <v>3</v>
      </c>
      <c r="S9">
        <v>0.69</v>
      </c>
      <c r="U9" t="s">
        <v>0</v>
      </c>
      <c r="V9" t="s">
        <v>8</v>
      </c>
      <c r="W9">
        <v>0.65600000000000003</v>
      </c>
    </row>
    <row r="10" spans="8:23" x14ac:dyDescent="0.3">
      <c r="I10" t="s">
        <v>24</v>
      </c>
      <c r="J10" t="s">
        <v>28</v>
      </c>
      <c r="K10">
        <v>3.5249999999999999</v>
      </c>
      <c r="M10" t="s">
        <v>24</v>
      </c>
      <c r="N10" t="s">
        <v>28</v>
      </c>
      <c r="O10">
        <v>0.505</v>
      </c>
      <c r="Q10" t="s">
        <v>0</v>
      </c>
      <c r="R10" t="s">
        <v>25</v>
      </c>
      <c r="S10">
        <v>0.85</v>
      </c>
      <c r="U10" t="s">
        <v>0</v>
      </c>
      <c r="V10" t="s">
        <v>9</v>
      </c>
      <c r="W10">
        <v>5.2733999999999996</v>
      </c>
    </row>
    <row r="11" spans="8:23" x14ac:dyDescent="0.3">
      <c r="I11" t="s">
        <v>24</v>
      </c>
      <c r="J11" t="s">
        <v>29</v>
      </c>
      <c r="K11">
        <v>1.5449999999999999</v>
      </c>
      <c r="M11" t="s">
        <v>24</v>
      </c>
      <c r="N11" t="s">
        <v>29</v>
      </c>
      <c r="O11">
        <v>0.505</v>
      </c>
      <c r="Q11" t="s">
        <v>0</v>
      </c>
      <c r="R11" t="s">
        <v>4</v>
      </c>
      <c r="S11">
        <v>0.75</v>
      </c>
      <c r="U11" t="s">
        <v>0</v>
      </c>
      <c r="V11" t="s">
        <v>9</v>
      </c>
      <c r="W11">
        <v>1.2342</v>
      </c>
    </row>
    <row r="12" spans="8:23" x14ac:dyDescent="0.3">
      <c r="I12" t="s">
        <v>24</v>
      </c>
      <c r="J12" t="s">
        <v>30</v>
      </c>
      <c r="K12">
        <v>13.228999999999999</v>
      </c>
      <c r="M12" t="s">
        <v>24</v>
      </c>
      <c r="N12" t="s">
        <v>30</v>
      </c>
      <c r="O12">
        <v>0.505</v>
      </c>
      <c r="Q12" t="s">
        <v>0</v>
      </c>
      <c r="R12" t="s">
        <v>5</v>
      </c>
      <c r="S12">
        <v>0.28999999999999998</v>
      </c>
      <c r="U12" t="s">
        <v>0</v>
      </c>
      <c r="V12" t="s">
        <v>10</v>
      </c>
      <c r="W12">
        <v>7.56</v>
      </c>
    </row>
    <row r="13" spans="8:23" x14ac:dyDescent="0.3">
      <c r="I13" t="s">
        <v>24</v>
      </c>
      <c r="J13" t="s">
        <v>31</v>
      </c>
      <c r="K13">
        <v>1.159</v>
      </c>
      <c r="M13" t="s">
        <v>24</v>
      </c>
      <c r="N13" t="s">
        <v>31</v>
      </c>
      <c r="O13">
        <v>0.505</v>
      </c>
      <c r="Q13" t="s">
        <v>0</v>
      </c>
      <c r="R13" t="s">
        <v>6</v>
      </c>
      <c r="S13">
        <v>0.505</v>
      </c>
      <c r="U13" t="s">
        <v>11</v>
      </c>
      <c r="V13" t="s">
        <v>1</v>
      </c>
      <c r="W13">
        <v>0.218</v>
      </c>
    </row>
    <row r="14" spans="8:23" x14ac:dyDescent="0.3">
      <c r="Q14" t="s">
        <v>0</v>
      </c>
      <c r="R14" t="s">
        <v>7</v>
      </c>
      <c r="S14">
        <v>0.505</v>
      </c>
      <c r="U14" t="s">
        <v>11</v>
      </c>
      <c r="V14" t="s">
        <v>2</v>
      </c>
      <c r="W14">
        <v>1.1870000000000001</v>
      </c>
    </row>
    <row r="15" spans="8:23" x14ac:dyDescent="0.3">
      <c r="H15" s="2">
        <f>SUM(K15:K26)</f>
        <v>109.55420156472377</v>
      </c>
      <c r="I15" t="s">
        <v>0</v>
      </c>
      <c r="J15" t="s">
        <v>6</v>
      </c>
      <c r="K15" s="1">
        <f>K2/O2</f>
        <v>9.0772277227722764</v>
      </c>
      <c r="Q15" t="s">
        <v>0</v>
      </c>
      <c r="R15" t="s">
        <v>44</v>
      </c>
      <c r="S15">
        <v>0.7</v>
      </c>
      <c r="U15" t="s">
        <v>11</v>
      </c>
      <c r="V15" t="s">
        <v>3</v>
      </c>
      <c r="W15">
        <v>5.0000000000000001E-3</v>
      </c>
    </row>
    <row r="16" spans="8:23" x14ac:dyDescent="0.3">
      <c r="H16" s="4" t="s">
        <v>60</v>
      </c>
      <c r="I16" t="s">
        <v>0</v>
      </c>
      <c r="J16" t="s">
        <v>7</v>
      </c>
      <c r="K16" s="1">
        <f>K3/O3</f>
        <v>9.6039603960396036</v>
      </c>
      <c r="Q16" t="s">
        <v>0</v>
      </c>
      <c r="R16" t="s">
        <v>45</v>
      </c>
      <c r="S16">
        <v>0.7</v>
      </c>
      <c r="U16" t="s">
        <v>11</v>
      </c>
      <c r="V16" t="s">
        <v>4</v>
      </c>
      <c r="W16">
        <v>3.0000000000000001E-3</v>
      </c>
    </row>
    <row r="17" spans="9:23" x14ac:dyDescent="0.3">
      <c r="I17" t="s">
        <v>11</v>
      </c>
      <c r="J17" t="s">
        <v>12</v>
      </c>
      <c r="K17" s="1">
        <f>K4/O4</f>
        <v>9.4623655913978499</v>
      </c>
      <c r="Q17" t="s">
        <v>0</v>
      </c>
      <c r="R17" t="s">
        <v>8</v>
      </c>
      <c r="S17">
        <v>0.4</v>
      </c>
      <c r="U17" t="s">
        <v>11</v>
      </c>
      <c r="V17" t="s">
        <v>12</v>
      </c>
      <c r="W17">
        <v>3.52</v>
      </c>
    </row>
    <row r="18" spans="9:23" x14ac:dyDescent="0.3">
      <c r="I18" t="s">
        <v>11</v>
      </c>
      <c r="J18" t="s">
        <v>13</v>
      </c>
      <c r="K18" s="1">
        <f>K5/O5</f>
        <v>10.870967741935482</v>
      </c>
      <c r="Q18" t="s">
        <v>0</v>
      </c>
      <c r="R18" t="s">
        <v>9</v>
      </c>
      <c r="S18">
        <v>0.8</v>
      </c>
      <c r="U18" t="s">
        <v>11</v>
      </c>
      <c r="V18" t="s">
        <v>13</v>
      </c>
      <c r="W18">
        <v>4.0439999999999996</v>
      </c>
    </row>
    <row r="19" spans="9:23" x14ac:dyDescent="0.3">
      <c r="I19" t="s">
        <v>11</v>
      </c>
      <c r="J19" t="s">
        <v>14</v>
      </c>
      <c r="K19" s="1">
        <f>K6/O6</f>
        <v>1.1827956989247312</v>
      </c>
      <c r="Q19" t="s">
        <v>0</v>
      </c>
      <c r="R19" t="s">
        <v>10</v>
      </c>
      <c r="S19">
        <v>0.8</v>
      </c>
      <c r="U19" t="s">
        <v>11</v>
      </c>
      <c r="V19" t="s">
        <v>14</v>
      </c>
      <c r="W19">
        <v>0.44</v>
      </c>
    </row>
    <row r="20" spans="9:23" x14ac:dyDescent="0.3">
      <c r="I20" t="s">
        <v>18</v>
      </c>
      <c r="J20" t="s">
        <v>19</v>
      </c>
      <c r="K20" s="1">
        <f>K7/O7</f>
        <v>11.317280453257791</v>
      </c>
      <c r="Q20" t="s">
        <v>0</v>
      </c>
      <c r="R20" t="s">
        <v>46</v>
      </c>
      <c r="S20">
        <v>0.85</v>
      </c>
      <c r="U20" t="s">
        <v>11</v>
      </c>
      <c r="V20" t="s">
        <v>15</v>
      </c>
      <c r="W20">
        <v>0.20799999999999999</v>
      </c>
    </row>
    <row r="21" spans="9:23" x14ac:dyDescent="0.3">
      <c r="I21" t="s">
        <v>24</v>
      </c>
      <c r="J21" t="s">
        <v>26</v>
      </c>
      <c r="K21" s="1">
        <f>K8/O8</f>
        <v>6.1207920792079209</v>
      </c>
      <c r="Q21" t="s">
        <v>11</v>
      </c>
      <c r="R21" t="s">
        <v>1</v>
      </c>
      <c r="S21">
        <v>0.27</v>
      </c>
      <c r="U21" t="s">
        <v>11</v>
      </c>
      <c r="V21" t="s">
        <v>16</v>
      </c>
      <c r="W21">
        <v>2.1585999999999999</v>
      </c>
    </row>
    <row r="22" spans="9:23" x14ac:dyDescent="0.3">
      <c r="I22" t="s">
        <v>24</v>
      </c>
      <c r="J22" t="s">
        <v>27</v>
      </c>
      <c r="K22" s="1">
        <f>K9/O9</f>
        <v>13.388118811881188</v>
      </c>
      <c r="Q22" t="s">
        <v>11</v>
      </c>
      <c r="R22" t="s">
        <v>2</v>
      </c>
      <c r="S22">
        <v>0.75</v>
      </c>
      <c r="U22" t="s">
        <v>11</v>
      </c>
      <c r="V22" t="s">
        <v>16</v>
      </c>
      <c r="W22">
        <v>2.008</v>
      </c>
    </row>
    <row r="23" spans="9:23" x14ac:dyDescent="0.3">
      <c r="I23" t="s">
        <v>24</v>
      </c>
      <c r="J23" t="s">
        <v>28</v>
      </c>
      <c r="K23" s="1">
        <f>K10/O10</f>
        <v>6.9801980198019802</v>
      </c>
      <c r="Q23" t="s">
        <v>11</v>
      </c>
      <c r="R23" t="s">
        <v>39</v>
      </c>
      <c r="S23">
        <v>0.75</v>
      </c>
      <c r="U23" t="s">
        <v>11</v>
      </c>
      <c r="V23" t="s">
        <v>17</v>
      </c>
      <c r="W23">
        <v>2.7019000000000002</v>
      </c>
    </row>
    <row r="24" spans="9:23" x14ac:dyDescent="0.3">
      <c r="I24" t="s">
        <v>24</v>
      </c>
      <c r="J24" t="s">
        <v>29</v>
      </c>
      <c r="K24" s="1">
        <f>K11/O11</f>
        <v>3.0594059405940595</v>
      </c>
      <c r="Q24" t="s">
        <v>11</v>
      </c>
      <c r="R24" t="s">
        <v>40</v>
      </c>
      <c r="S24">
        <v>0.75</v>
      </c>
      <c r="U24" t="s">
        <v>18</v>
      </c>
      <c r="V24" t="s">
        <v>1</v>
      </c>
      <c r="W24">
        <v>0.27500000000000002</v>
      </c>
    </row>
    <row r="25" spans="9:23" x14ac:dyDescent="0.3">
      <c r="I25" t="s">
        <v>24</v>
      </c>
      <c r="J25" t="s">
        <v>30</v>
      </c>
      <c r="K25" s="1">
        <f>K12/O12</f>
        <v>26.196039603960394</v>
      </c>
      <c r="Q25" t="s">
        <v>11</v>
      </c>
      <c r="R25" t="s">
        <v>41</v>
      </c>
      <c r="S25">
        <v>0.75</v>
      </c>
      <c r="U25" t="s">
        <v>18</v>
      </c>
      <c r="V25" t="s">
        <v>2</v>
      </c>
      <c r="W25">
        <v>0.254</v>
      </c>
    </row>
    <row r="26" spans="9:23" x14ac:dyDescent="0.3">
      <c r="I26" t="s">
        <v>24</v>
      </c>
      <c r="J26" t="s">
        <v>31</v>
      </c>
      <c r="K26" s="1">
        <f>K13/O13</f>
        <v>2.2950495049504949</v>
      </c>
      <c r="Q26" t="s">
        <v>11</v>
      </c>
      <c r="R26" t="s">
        <v>42</v>
      </c>
      <c r="S26">
        <v>0.75</v>
      </c>
      <c r="U26" t="s">
        <v>18</v>
      </c>
      <c r="V26" t="s">
        <v>3</v>
      </c>
      <c r="W26">
        <v>1.9E-2</v>
      </c>
    </row>
    <row r="27" spans="9:23" x14ac:dyDescent="0.3">
      <c r="Q27" t="s">
        <v>11</v>
      </c>
      <c r="R27" t="s">
        <v>43</v>
      </c>
      <c r="S27">
        <v>0.75</v>
      </c>
      <c r="U27" t="s">
        <v>18</v>
      </c>
      <c r="V27" t="s">
        <v>4</v>
      </c>
      <c r="W27">
        <v>6.7000000000000004E-2</v>
      </c>
    </row>
    <row r="28" spans="9:23" x14ac:dyDescent="0.3">
      <c r="Q28" t="s">
        <v>11</v>
      </c>
      <c r="R28" t="s">
        <v>3</v>
      </c>
      <c r="S28">
        <v>0.69</v>
      </c>
      <c r="U28" t="s">
        <v>18</v>
      </c>
      <c r="V28" t="s">
        <v>5</v>
      </c>
      <c r="W28">
        <v>1.8460000000000001</v>
      </c>
    </row>
    <row r="29" spans="9:23" x14ac:dyDescent="0.3">
      <c r="Q29" t="s">
        <v>11</v>
      </c>
      <c r="R29" t="s">
        <v>25</v>
      </c>
      <c r="S29">
        <v>0.85</v>
      </c>
      <c r="U29" t="s">
        <v>18</v>
      </c>
      <c r="V29" t="s">
        <v>19</v>
      </c>
      <c r="W29">
        <v>3.9950000000000001</v>
      </c>
    </row>
    <row r="30" spans="9:23" x14ac:dyDescent="0.3">
      <c r="Q30" t="s">
        <v>11</v>
      </c>
      <c r="R30" t="s">
        <v>4</v>
      </c>
      <c r="S30">
        <v>0.75</v>
      </c>
      <c r="U30" t="s">
        <v>18</v>
      </c>
      <c r="V30" t="s">
        <v>20</v>
      </c>
      <c r="W30">
        <v>5.0250000000000004</v>
      </c>
    </row>
    <row r="31" spans="9:23" x14ac:dyDescent="0.3">
      <c r="Q31" t="s">
        <v>11</v>
      </c>
      <c r="R31" t="s">
        <v>5</v>
      </c>
      <c r="S31">
        <v>0.3</v>
      </c>
      <c r="U31" t="s">
        <v>18</v>
      </c>
      <c r="V31" t="s">
        <v>21</v>
      </c>
      <c r="W31">
        <v>5.0250000000000004</v>
      </c>
    </row>
    <row r="32" spans="9:23" x14ac:dyDescent="0.3">
      <c r="Q32" t="s">
        <v>11</v>
      </c>
      <c r="R32" t="s">
        <v>12</v>
      </c>
      <c r="S32">
        <v>0.372</v>
      </c>
      <c r="U32" t="s">
        <v>18</v>
      </c>
      <c r="V32" t="s">
        <v>22</v>
      </c>
      <c r="W32">
        <v>1.2299</v>
      </c>
    </row>
    <row r="33" spans="17:23" x14ac:dyDescent="0.3">
      <c r="Q33" t="s">
        <v>11</v>
      </c>
      <c r="R33" t="s">
        <v>13</v>
      </c>
      <c r="S33">
        <v>0.372</v>
      </c>
      <c r="U33" t="s">
        <v>18</v>
      </c>
      <c r="V33" t="s">
        <v>22</v>
      </c>
      <c r="W33">
        <v>0.60240000000000005</v>
      </c>
    </row>
    <row r="34" spans="17:23" x14ac:dyDescent="0.3">
      <c r="Q34" t="s">
        <v>11</v>
      </c>
      <c r="R34" t="s">
        <v>14</v>
      </c>
      <c r="S34">
        <v>0.372</v>
      </c>
      <c r="U34" t="s">
        <v>18</v>
      </c>
      <c r="V34" t="s">
        <v>23</v>
      </c>
      <c r="W34">
        <v>5.5566000000000004</v>
      </c>
    </row>
    <row r="35" spans="17:23" x14ac:dyDescent="0.3">
      <c r="Q35" t="s">
        <v>11</v>
      </c>
      <c r="R35" t="s">
        <v>47</v>
      </c>
      <c r="S35">
        <v>0.7</v>
      </c>
      <c r="U35" t="s">
        <v>24</v>
      </c>
      <c r="V35" t="s">
        <v>1</v>
      </c>
      <c r="W35">
        <v>3.1360000000000001</v>
      </c>
    </row>
    <row r="36" spans="17:23" x14ac:dyDescent="0.3">
      <c r="Q36" t="s">
        <v>11</v>
      </c>
      <c r="R36" t="s">
        <v>48</v>
      </c>
      <c r="S36">
        <v>0.7</v>
      </c>
      <c r="U36" t="s">
        <v>24</v>
      </c>
      <c r="V36" t="s">
        <v>2</v>
      </c>
      <c r="W36">
        <v>0.80800000000000005</v>
      </c>
    </row>
    <row r="37" spans="17:23" x14ac:dyDescent="0.3">
      <c r="Q37" t="s">
        <v>11</v>
      </c>
      <c r="R37" t="s">
        <v>49</v>
      </c>
      <c r="S37">
        <v>0.7</v>
      </c>
      <c r="U37" t="s">
        <v>24</v>
      </c>
      <c r="V37" t="s">
        <v>25</v>
      </c>
      <c r="W37">
        <v>1.657</v>
      </c>
    </row>
    <row r="38" spans="17:23" x14ac:dyDescent="0.3">
      <c r="Q38" t="s">
        <v>11</v>
      </c>
      <c r="R38" t="s">
        <v>15</v>
      </c>
      <c r="S38">
        <v>0.435</v>
      </c>
      <c r="U38" t="s">
        <v>24</v>
      </c>
      <c r="V38" t="s">
        <v>4</v>
      </c>
      <c r="W38">
        <v>3.0000000000000001E-3</v>
      </c>
    </row>
    <row r="39" spans="17:23" x14ac:dyDescent="0.3">
      <c r="Q39" t="s">
        <v>11</v>
      </c>
      <c r="R39" t="s">
        <v>16</v>
      </c>
      <c r="S39">
        <v>0.8</v>
      </c>
      <c r="U39" t="s">
        <v>24</v>
      </c>
      <c r="V39" t="s">
        <v>5</v>
      </c>
      <c r="W39">
        <v>2.3439999999999999</v>
      </c>
    </row>
    <row r="40" spans="17:23" x14ac:dyDescent="0.3">
      <c r="Q40" t="s">
        <v>11</v>
      </c>
      <c r="R40" t="s">
        <v>17</v>
      </c>
      <c r="S40">
        <v>0.8</v>
      </c>
      <c r="U40" t="s">
        <v>24</v>
      </c>
      <c r="V40" t="s">
        <v>26</v>
      </c>
      <c r="W40">
        <v>3.0910000000000002</v>
      </c>
    </row>
    <row r="41" spans="17:23" x14ac:dyDescent="0.3">
      <c r="Q41" t="s">
        <v>11</v>
      </c>
      <c r="R41" t="s">
        <v>50</v>
      </c>
      <c r="S41">
        <v>0.85</v>
      </c>
      <c r="U41" t="s">
        <v>24</v>
      </c>
      <c r="V41" t="s">
        <v>27</v>
      </c>
      <c r="W41">
        <v>6.7610000000000001</v>
      </c>
    </row>
    <row r="42" spans="17:23" x14ac:dyDescent="0.3">
      <c r="Q42" t="s">
        <v>18</v>
      </c>
      <c r="R42" t="s">
        <v>1</v>
      </c>
      <c r="S42">
        <v>0.27</v>
      </c>
      <c r="U42" t="s">
        <v>24</v>
      </c>
      <c r="V42" t="s">
        <v>28</v>
      </c>
      <c r="W42">
        <v>3.5249999999999999</v>
      </c>
    </row>
    <row r="43" spans="17:23" x14ac:dyDescent="0.3">
      <c r="Q43" t="s">
        <v>18</v>
      </c>
      <c r="R43" t="s">
        <v>2</v>
      </c>
      <c r="S43">
        <v>0.75</v>
      </c>
      <c r="U43" t="s">
        <v>24</v>
      </c>
      <c r="V43" t="s">
        <v>29</v>
      </c>
      <c r="W43">
        <v>1.5449999999999999</v>
      </c>
    </row>
    <row r="44" spans="17:23" x14ac:dyDescent="0.3">
      <c r="Q44" t="s">
        <v>18</v>
      </c>
      <c r="R44" t="s">
        <v>39</v>
      </c>
      <c r="S44">
        <v>0.75</v>
      </c>
      <c r="U44" t="s">
        <v>24</v>
      </c>
      <c r="V44" t="s">
        <v>30</v>
      </c>
      <c r="W44">
        <v>13.228999999999999</v>
      </c>
    </row>
    <row r="45" spans="17:23" x14ac:dyDescent="0.3">
      <c r="Q45" t="s">
        <v>18</v>
      </c>
      <c r="R45" t="s">
        <v>40</v>
      </c>
      <c r="S45">
        <v>0.75</v>
      </c>
      <c r="U45" t="s">
        <v>24</v>
      </c>
      <c r="V45" t="s">
        <v>31</v>
      </c>
      <c r="W45">
        <v>1.159</v>
      </c>
    </row>
    <row r="46" spans="17:23" x14ac:dyDescent="0.3">
      <c r="Q46" t="s">
        <v>18</v>
      </c>
      <c r="R46" t="s">
        <v>41</v>
      </c>
      <c r="S46">
        <v>0.75</v>
      </c>
      <c r="U46" t="s">
        <v>24</v>
      </c>
      <c r="V46" t="s">
        <v>15</v>
      </c>
      <c r="W46">
        <v>7.0000000000000001E-3</v>
      </c>
    </row>
    <row r="47" spans="17:23" x14ac:dyDescent="0.3">
      <c r="Q47" t="s">
        <v>18</v>
      </c>
      <c r="R47" t="s">
        <v>42</v>
      </c>
      <c r="S47">
        <v>0.75</v>
      </c>
      <c r="U47" t="s">
        <v>24</v>
      </c>
      <c r="V47" t="s">
        <v>32</v>
      </c>
      <c r="W47">
        <v>4.5407999999999999</v>
      </c>
    </row>
    <row r="48" spans="17:23" x14ac:dyDescent="0.3">
      <c r="Q48" t="s">
        <v>18</v>
      </c>
      <c r="R48" t="s">
        <v>43</v>
      </c>
      <c r="S48">
        <v>0.75</v>
      </c>
      <c r="U48" t="s">
        <v>24</v>
      </c>
      <c r="V48" t="s">
        <v>32</v>
      </c>
      <c r="W48">
        <v>0.47299999999999998</v>
      </c>
    </row>
    <row r="49" spans="17:23" x14ac:dyDescent="0.3">
      <c r="Q49" t="s">
        <v>18</v>
      </c>
      <c r="R49" t="s">
        <v>3</v>
      </c>
      <c r="S49">
        <v>0.69</v>
      </c>
      <c r="U49" t="s">
        <v>24</v>
      </c>
      <c r="V49" t="s">
        <v>33</v>
      </c>
      <c r="W49">
        <v>24.576000000000001</v>
      </c>
    </row>
    <row r="50" spans="17:23" x14ac:dyDescent="0.3">
      <c r="Q50" t="s">
        <v>18</v>
      </c>
      <c r="R50" t="s">
        <v>25</v>
      </c>
      <c r="S50">
        <v>0.85</v>
      </c>
    </row>
    <row r="51" spans="17:23" x14ac:dyDescent="0.3">
      <c r="Q51" t="s">
        <v>18</v>
      </c>
      <c r="R51" t="s">
        <v>4</v>
      </c>
      <c r="S51">
        <v>0.75</v>
      </c>
    </row>
    <row r="52" spans="17:23" x14ac:dyDescent="0.3">
      <c r="Q52" t="s">
        <v>18</v>
      </c>
      <c r="R52" t="s">
        <v>5</v>
      </c>
      <c r="S52">
        <v>0.3</v>
      </c>
    </row>
    <row r="53" spans="17:23" x14ac:dyDescent="0.3">
      <c r="Q53" t="s">
        <v>18</v>
      </c>
      <c r="R53" t="s">
        <v>19</v>
      </c>
      <c r="S53">
        <v>0.35299999999999998</v>
      </c>
    </row>
    <row r="54" spans="17:23" x14ac:dyDescent="0.3">
      <c r="Q54" t="s">
        <v>18</v>
      </c>
      <c r="R54" t="s">
        <v>51</v>
      </c>
      <c r="S54">
        <v>0.7</v>
      </c>
    </row>
    <row r="55" spans="17:23" x14ac:dyDescent="0.3">
      <c r="Q55" t="s">
        <v>18</v>
      </c>
      <c r="R55" t="s">
        <v>20</v>
      </c>
      <c r="S55">
        <v>0.47</v>
      </c>
    </row>
    <row r="56" spans="17:23" x14ac:dyDescent="0.3">
      <c r="Q56" t="s">
        <v>18</v>
      </c>
      <c r="R56" t="s">
        <v>21</v>
      </c>
      <c r="S56">
        <v>0.47</v>
      </c>
    </row>
    <row r="57" spans="17:23" x14ac:dyDescent="0.3">
      <c r="Q57" t="s">
        <v>18</v>
      </c>
      <c r="R57" t="s">
        <v>22</v>
      </c>
      <c r="S57">
        <v>0.8</v>
      </c>
    </row>
    <row r="58" spans="17:23" x14ac:dyDescent="0.3">
      <c r="Q58" t="s">
        <v>18</v>
      </c>
      <c r="R58" t="s">
        <v>23</v>
      </c>
      <c r="S58">
        <v>0.8</v>
      </c>
    </row>
    <row r="59" spans="17:23" x14ac:dyDescent="0.3">
      <c r="Q59" t="s">
        <v>18</v>
      </c>
      <c r="R59" t="s">
        <v>52</v>
      </c>
      <c r="S59">
        <v>0.85</v>
      </c>
    </row>
    <row r="60" spans="17:23" x14ac:dyDescent="0.3">
      <c r="Q60" t="s">
        <v>24</v>
      </c>
      <c r="R60" t="s">
        <v>1</v>
      </c>
      <c r="S60">
        <v>0.27</v>
      </c>
    </row>
    <row r="61" spans="17:23" x14ac:dyDescent="0.3">
      <c r="Q61" t="s">
        <v>24</v>
      </c>
      <c r="R61" t="s">
        <v>2</v>
      </c>
      <c r="S61">
        <v>0.75</v>
      </c>
    </row>
    <row r="62" spans="17:23" x14ac:dyDescent="0.3">
      <c r="Q62" t="s">
        <v>24</v>
      </c>
      <c r="R62" t="s">
        <v>39</v>
      </c>
      <c r="S62">
        <v>0.75</v>
      </c>
    </row>
    <row r="63" spans="17:23" x14ac:dyDescent="0.3">
      <c r="Q63" t="s">
        <v>24</v>
      </c>
      <c r="R63" t="s">
        <v>40</v>
      </c>
      <c r="S63">
        <v>0.75</v>
      </c>
    </row>
    <row r="64" spans="17:23" x14ac:dyDescent="0.3">
      <c r="Q64" t="s">
        <v>24</v>
      </c>
      <c r="R64" t="s">
        <v>41</v>
      </c>
      <c r="S64">
        <v>0.75</v>
      </c>
    </row>
    <row r="65" spans="17:19" x14ac:dyDescent="0.3">
      <c r="Q65" t="s">
        <v>24</v>
      </c>
      <c r="R65" t="s">
        <v>42</v>
      </c>
      <c r="S65">
        <v>0.75</v>
      </c>
    </row>
    <row r="66" spans="17:19" x14ac:dyDescent="0.3">
      <c r="Q66" t="s">
        <v>24</v>
      </c>
      <c r="R66" t="s">
        <v>43</v>
      </c>
      <c r="S66">
        <v>0.75</v>
      </c>
    </row>
    <row r="67" spans="17:19" x14ac:dyDescent="0.3">
      <c r="Q67" t="s">
        <v>24</v>
      </c>
      <c r="R67" t="s">
        <v>3</v>
      </c>
      <c r="S67">
        <v>0.69</v>
      </c>
    </row>
    <row r="68" spans="17:19" x14ac:dyDescent="0.3">
      <c r="Q68" t="s">
        <v>24</v>
      </c>
      <c r="R68" t="s">
        <v>25</v>
      </c>
      <c r="S68">
        <v>0.85</v>
      </c>
    </row>
    <row r="69" spans="17:19" x14ac:dyDescent="0.3">
      <c r="Q69" t="s">
        <v>24</v>
      </c>
      <c r="R69" t="s">
        <v>4</v>
      </c>
      <c r="S69">
        <v>0.75</v>
      </c>
    </row>
    <row r="70" spans="17:19" x14ac:dyDescent="0.3">
      <c r="Q70" t="s">
        <v>24</v>
      </c>
      <c r="R70" t="s">
        <v>5</v>
      </c>
      <c r="S70">
        <v>0.28999999999999998</v>
      </c>
    </row>
    <row r="71" spans="17:19" x14ac:dyDescent="0.3">
      <c r="Q71" t="s">
        <v>24</v>
      </c>
      <c r="R71" t="s">
        <v>26</v>
      </c>
      <c r="S71">
        <v>0.505</v>
      </c>
    </row>
    <row r="72" spans="17:19" x14ac:dyDescent="0.3">
      <c r="Q72" t="s">
        <v>24</v>
      </c>
      <c r="R72" t="s">
        <v>27</v>
      </c>
      <c r="S72">
        <v>0.505</v>
      </c>
    </row>
    <row r="73" spans="17:19" x14ac:dyDescent="0.3">
      <c r="Q73" t="s">
        <v>24</v>
      </c>
      <c r="R73" t="s">
        <v>28</v>
      </c>
      <c r="S73">
        <v>0.505</v>
      </c>
    </row>
    <row r="74" spans="17:19" x14ac:dyDescent="0.3">
      <c r="Q74" t="s">
        <v>24</v>
      </c>
      <c r="R74" t="s">
        <v>29</v>
      </c>
      <c r="S74">
        <v>0.505</v>
      </c>
    </row>
    <row r="75" spans="17:19" x14ac:dyDescent="0.3">
      <c r="Q75" t="s">
        <v>24</v>
      </c>
      <c r="R75" t="s">
        <v>30</v>
      </c>
      <c r="S75">
        <v>0.505</v>
      </c>
    </row>
    <row r="76" spans="17:19" x14ac:dyDescent="0.3">
      <c r="Q76" t="s">
        <v>24</v>
      </c>
      <c r="R76" t="s">
        <v>31</v>
      </c>
      <c r="S76">
        <v>0.505</v>
      </c>
    </row>
    <row r="77" spans="17:19" x14ac:dyDescent="0.3">
      <c r="Q77" t="s">
        <v>24</v>
      </c>
      <c r="R77" t="s">
        <v>53</v>
      </c>
      <c r="S77">
        <v>0.7</v>
      </c>
    </row>
    <row r="78" spans="17:19" x14ac:dyDescent="0.3">
      <c r="Q78" t="s">
        <v>24</v>
      </c>
      <c r="R78" t="s">
        <v>54</v>
      </c>
      <c r="S78">
        <v>0.7</v>
      </c>
    </row>
    <row r="79" spans="17:19" x14ac:dyDescent="0.3">
      <c r="Q79" t="s">
        <v>24</v>
      </c>
      <c r="R79" t="s">
        <v>55</v>
      </c>
      <c r="S79">
        <v>0.7</v>
      </c>
    </row>
    <row r="80" spans="17:19" x14ac:dyDescent="0.3">
      <c r="Q80" t="s">
        <v>24</v>
      </c>
      <c r="R80" t="s">
        <v>56</v>
      </c>
      <c r="S80">
        <v>0.7</v>
      </c>
    </row>
    <row r="81" spans="17:19" x14ac:dyDescent="0.3">
      <c r="Q81" t="s">
        <v>24</v>
      </c>
      <c r="R81" t="s">
        <v>57</v>
      </c>
      <c r="S81">
        <v>0.7</v>
      </c>
    </row>
    <row r="82" spans="17:19" x14ac:dyDescent="0.3">
      <c r="Q82" t="s">
        <v>24</v>
      </c>
      <c r="R82" t="s">
        <v>15</v>
      </c>
      <c r="S82">
        <v>0.435</v>
      </c>
    </row>
    <row r="83" spans="17:19" x14ac:dyDescent="0.3">
      <c r="Q83" t="s">
        <v>24</v>
      </c>
      <c r="R83" t="s">
        <v>32</v>
      </c>
      <c r="S83">
        <v>0.8</v>
      </c>
    </row>
    <row r="84" spans="17:19" x14ac:dyDescent="0.3">
      <c r="Q84" t="s">
        <v>24</v>
      </c>
      <c r="R84" t="s">
        <v>33</v>
      </c>
      <c r="S84">
        <v>0.8</v>
      </c>
    </row>
    <row r="85" spans="17:19" x14ac:dyDescent="0.3">
      <c r="Q85" t="s">
        <v>24</v>
      </c>
      <c r="R85" t="s">
        <v>58</v>
      </c>
      <c r="S85">
        <v>0.85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 history_new_capacity</vt:lpstr>
      <vt:lpstr>Por history_acticity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Veiga Velasco</dc:creator>
  <cp:lastModifiedBy>Jonathan Veiga Velasco</cp:lastModifiedBy>
  <dcterms:created xsi:type="dcterms:W3CDTF">2026-06-07T21:44:29Z</dcterms:created>
  <dcterms:modified xsi:type="dcterms:W3CDTF">2026-06-07T21:57:24Z</dcterms:modified>
</cp:coreProperties>
</file>