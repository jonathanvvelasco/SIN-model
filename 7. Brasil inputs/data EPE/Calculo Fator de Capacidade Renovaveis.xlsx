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IN-model\7. Brasil inputs\data EPE\"/>
    </mc:Choice>
  </mc:AlternateContent>
  <xr:revisionPtr revIDLastSave="0" documentId="8_{7CA08B81-8E44-4997-815E-E5A8681E8625}" xr6:coauthVersionLast="47" xr6:coauthVersionMax="47" xr10:uidLastSave="{00000000-0000-0000-0000-000000000000}"/>
  <bookViews>
    <workbookView xWindow="-108" yWindow="-108" windowWidth="23256" windowHeight="12456" xr2:uid="{E46C1A0C-0A62-4451-89FA-E6775895A1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 a="1"/>
  <c r="H11" i="1" s="1"/>
  <c r="G14" i="1"/>
  <c r="G13" i="1"/>
  <c r="G12" i="1"/>
  <c r="G11" i="1"/>
  <c r="G6" i="1"/>
  <c r="G5" i="1"/>
  <c r="G4" i="1"/>
  <c r="G3" i="1"/>
  <c r="F14" i="1"/>
  <c r="F13" i="1"/>
  <c r="F12" i="1"/>
  <c r="F11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Saulo Ribeiro Silva</author>
  </authors>
  <commentList>
    <comment ref="C1" authorId="0" shapeId="0" xr:uid="{F6974ABF-0E3E-4FF3-83C7-80F9231F990A}">
      <text>
        <r>
          <rPr>
            <sz val="9"/>
            <color indexed="81"/>
            <rFont val="Segoe UI"/>
            <family val="2"/>
          </rPr>
          <t xml:space="preserve">Fontes não listadas nesta aba serão consideradas com contribuição flat unitária para todos os patamares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<sst xmlns="http://schemas.openxmlformats.org/spreadsheetml/2006/main" count="6" uniqueCount="6">
  <si>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Projeto</t>
  </si>
  <si>
    <t>#</t>
  </si>
  <si>
    <t>FATORES DE CONTRIBIÇÃO DAS USINAS NÃO SIMULADAS INDICATIVAS (ABA Renov Ind.) PARA OS PATAMARES DE CARGA</t>
  </si>
  <si>
    <t>UFV SE 1</t>
  </si>
  <si>
    <t>Patamar</t>
  </si>
  <si>
    <t>DURACAO MENSAL DOS PATAMARES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</si>
</sst>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B341-F8E3-47E0-B7FD-1C845E4D2023}">
  <dimension ref="A1:H14"/>
  <sheetViews>
    <sheetView tabSelected="1" workbookViewId="0">
      <selection activeCell="G3" sqref="G3:G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2" t="s">
        <v>2</v>
      </c>
    </row>
    <row r="2" spans="1:8" x14ac:dyDescent="0.3">
      <c r="A2" s="3" t="s">
        <v>3</v>
      </c>
      <c r="B2" s="3">
        <v>18</v>
      </c>
      <c r="C2" s="4">
        <v>45292</v>
      </c>
    </row>
    <row r="3" spans="1:8" x14ac:dyDescent="0.3">
      <c r="A3" s="5" t="s">
        <v>4</v>
      </c>
      <c r="B3" s="6">
        <v>1</v>
      </c>
      <c r="C3" s="7">
        <v>0.32476483599919759</v>
      </c>
      <c r="E3" s="8">
        <v>0.30540906211775171</v>
      </c>
      <c r="F3">
        <f>$E$3*C3</f>
        <v>9.9186123971340384E-2</v>
      </c>
      <c r="G3">
        <f>F3*C11</f>
        <v>1.3588498984073633E-3</v>
      </c>
    </row>
    <row r="4" spans="1:8" x14ac:dyDescent="0.3">
      <c r="A4" s="5"/>
      <c r="B4" s="6">
        <v>2</v>
      </c>
      <c r="C4" s="7">
        <v>1.7382204014367197</v>
      </c>
      <c r="F4">
        <f t="shared" ref="F4:F6" si="0">$E$3*C4</f>
        <v>0.53086826255673047</v>
      </c>
      <c r="G4">
        <f t="shared" ref="G4:G6" si="1">F4*C12</f>
        <v>0.19297061343937152</v>
      </c>
    </row>
    <row r="5" spans="1:8" x14ac:dyDescent="0.3">
      <c r="A5" s="5"/>
      <c r="B5" s="6">
        <v>3</v>
      </c>
      <c r="C5" s="7">
        <v>0.5368965202745557</v>
      </c>
      <c r="F5">
        <f t="shared" si="0"/>
        <v>0.16397306271133652</v>
      </c>
      <c r="G5">
        <f t="shared" si="1"/>
        <v>7.6936161024159094E-2</v>
      </c>
    </row>
    <row r="6" spans="1:8" x14ac:dyDescent="0.3">
      <c r="A6" s="5"/>
      <c r="B6" s="6">
        <v>4</v>
      </c>
      <c r="C6" s="7">
        <v>0.72783696947748655</v>
      </c>
      <c r="F6">
        <f t="shared" si="0"/>
        <v>0.22228800622274583</v>
      </c>
      <c r="G6">
        <f t="shared" si="1"/>
        <v>3.4143437755813758E-2</v>
      </c>
    </row>
    <row r="9" spans="1:8" x14ac:dyDescent="0.3">
      <c r="B9" t="s">
        <v>5</v>
      </c>
    </row>
    <row r="10" spans="1:8" x14ac:dyDescent="0.3">
      <c r="C10" s="4">
        <v>45292</v>
      </c>
    </row>
    <row r="11" spans="1:8" x14ac:dyDescent="0.3">
      <c r="B11" s="6">
        <v>1</v>
      </c>
      <c r="C11" s="9">
        <v>1.37E-2</v>
      </c>
      <c r="E11">
        <v>744</v>
      </c>
      <c r="F11">
        <f>$E$11*C11</f>
        <v>10.1928</v>
      </c>
      <c r="G11">
        <f>F11*F3</f>
        <v>1.0109843244150782</v>
      </c>
      <c r="H11" cm="1">
        <f t="array" ref="H11">SUM(G11:G14/E11)</f>
        <v>0.30540906211775176</v>
      </c>
    </row>
    <row r="12" spans="1:8" x14ac:dyDescent="0.3">
      <c r="B12" s="6">
        <v>2</v>
      </c>
      <c r="C12" s="9">
        <v>0.36349999999999999</v>
      </c>
      <c r="F12">
        <f t="shared" ref="F12:F14" si="2">$E$11*C12</f>
        <v>270.44400000000002</v>
      </c>
      <c r="G12">
        <f t="shared" ref="G12:G14" si="3">F12*F4</f>
        <v>143.57013639889243</v>
      </c>
    </row>
    <row r="13" spans="1:8" x14ac:dyDescent="0.3">
      <c r="B13" s="6">
        <v>3</v>
      </c>
      <c r="C13" s="9">
        <v>0.46920000000000001</v>
      </c>
      <c r="F13">
        <f t="shared" si="2"/>
        <v>349.08480000000003</v>
      </c>
      <c r="G13">
        <f t="shared" si="3"/>
        <v>57.24050380197437</v>
      </c>
    </row>
    <row r="14" spans="1:8" x14ac:dyDescent="0.3">
      <c r="B14" s="6">
        <v>4</v>
      </c>
      <c r="C14" s="9">
        <v>0.15359999999999999</v>
      </c>
      <c r="F14">
        <f t="shared" si="2"/>
        <v>114.27839999999999</v>
      </c>
      <c r="G14">
        <f t="shared" si="3"/>
        <v>25.402717690325435</v>
      </c>
    </row>
  </sheetData>
  <mergeCells count="1">
    <mergeCell ref="A3:A6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Veiga Velasco</dc:creator>
  <cp:lastModifiedBy>Jonathan Veiga Velasco</cp:lastModifiedBy>
  <dcterms:created xsi:type="dcterms:W3CDTF">2026-05-26T23:19:27Z</dcterms:created>
  <dcterms:modified xsi:type="dcterms:W3CDTF">2026-05-26T23:43:19Z</dcterms:modified>
</cp:coreProperties>
</file>